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orio\Downloads\Misc Revisions\"/>
    </mc:Choice>
  </mc:AlternateContent>
  <xr:revisionPtr revIDLastSave="0" documentId="13_ncr:1_{66221E73-B218-4E91-8E1A-171B32F71178}" xr6:coauthVersionLast="47" xr6:coauthVersionMax="47" xr10:uidLastSave="{00000000-0000-0000-0000-000000000000}"/>
  <bookViews>
    <workbookView xWindow="-120" yWindow="-16320" windowWidth="29040" windowHeight="15720" firstSheet="1" activeTab="2" xr2:uid="{00000000-000D-0000-FFFF-FFFF00000000}"/>
  </bookViews>
  <sheets>
    <sheet name="Summary PivotTables" sheetId="2" state="hidden" r:id="rId1"/>
    <sheet name="PO Data" sheetId="1" r:id="rId2"/>
    <sheet name="Vendor Analysis" sheetId="3" r:id="rId3"/>
    <sheet name="Product Analysis" sheetId="4" r:id="rId4"/>
    <sheet name="PivotTables " sheetId="5" r:id="rId5"/>
  </sheets>
  <definedNames>
    <definedName name="_xlnm._FilterDatabase" localSheetId="1" hidden="1">'PO Data'!$A$2:$G$159</definedName>
    <definedName name="_xlchart.v1.0" hidden="1">'Product Analysis'!$A$3:$A$19</definedName>
    <definedName name="_xlchart.v1.1" hidden="1">'Product Analysis'!$B$2</definedName>
    <definedName name="_xlchart.v1.2" hidden="1">'Product Analysis'!$B$3:$B$19</definedName>
    <definedName name="_xlchart.v1.3" hidden="1">'Product Analysis'!$A$3:$A$19</definedName>
    <definedName name="_xlchart.v1.4" hidden="1">'Product Analysis'!$D$2</definedName>
    <definedName name="_xlchart.v1.5" hidden="1">'Product Analysis'!$D$3:$D$19</definedName>
    <definedName name="_xlchart.v1.6" hidden="1">'Product Analysis'!$A$3:$A$19</definedName>
    <definedName name="_xlchart.v1.7" hidden="1">'Product Analysis'!$E$2</definedName>
    <definedName name="_xlchart.v1.8" hidden="1">'Product Analysis'!$E$3:$E$19</definedName>
    <definedName name="Slicer_Product1">#N/A</definedName>
    <definedName name="Slicer_Vendor1">#N/A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5" l="1"/>
  <c r="E8" i="5"/>
  <c r="F3" i="4"/>
  <c r="F4" i="4"/>
  <c r="F5" i="4"/>
  <c r="F6" i="4"/>
  <c r="F7" i="4"/>
  <c r="F8" i="4"/>
  <c r="F9" i="4"/>
  <c r="F10" i="4"/>
  <c r="F11" i="4"/>
  <c r="F12" i="4"/>
  <c r="F13" i="4"/>
  <c r="F14" i="4"/>
  <c r="F15" i="4"/>
  <c r="F16" i="4"/>
  <c r="F17" i="4"/>
  <c r="F18" i="4"/>
  <c r="F19" i="4"/>
  <c r="F20" i="4"/>
  <c r="B15" i="4"/>
  <c r="F30" i="5"/>
  <c r="A4" i="4"/>
  <c r="B4" i="4"/>
  <c r="C4" i="4"/>
  <c r="D4" i="4"/>
  <c r="E4" i="4"/>
  <c r="A5" i="4"/>
  <c r="B5" i="4"/>
  <c r="C5" i="4"/>
  <c r="D5" i="4"/>
  <c r="E5" i="4"/>
  <c r="A6" i="4"/>
  <c r="B6" i="4"/>
  <c r="C6" i="4"/>
  <c r="D6" i="4"/>
  <c r="E6" i="4"/>
  <c r="A7" i="4"/>
  <c r="B7" i="4"/>
  <c r="C7" i="4"/>
  <c r="D7" i="4"/>
  <c r="E7" i="4"/>
  <c r="A8" i="4"/>
  <c r="B8" i="4"/>
  <c r="C8" i="4"/>
  <c r="D8" i="4"/>
  <c r="E8" i="4"/>
  <c r="A9" i="4"/>
  <c r="B9" i="4"/>
  <c r="C9" i="4"/>
  <c r="D9" i="4"/>
  <c r="E9" i="4"/>
  <c r="A10" i="4"/>
  <c r="B10" i="4"/>
  <c r="C10" i="4"/>
  <c r="D10" i="4"/>
  <c r="E10" i="4"/>
  <c r="A11" i="4"/>
  <c r="B11" i="4"/>
  <c r="C11" i="4"/>
  <c r="D11" i="4"/>
  <c r="E11" i="4"/>
  <c r="A12" i="4"/>
  <c r="B12" i="4"/>
  <c r="C12" i="4"/>
  <c r="D12" i="4"/>
  <c r="E12" i="4"/>
  <c r="A13" i="4"/>
  <c r="B13" i="4"/>
  <c r="C13" i="4"/>
  <c r="D13" i="4"/>
  <c r="E13" i="4"/>
  <c r="A14" i="4"/>
  <c r="B14" i="4"/>
  <c r="C14" i="4"/>
  <c r="D14" i="4"/>
  <c r="E14" i="4"/>
  <c r="A15" i="4"/>
  <c r="C15" i="4"/>
  <c r="D15" i="4"/>
  <c r="E15" i="4"/>
  <c r="A16" i="4"/>
  <c r="B16" i="4"/>
  <c r="C16" i="4"/>
  <c r="D16" i="4"/>
  <c r="E16" i="4"/>
  <c r="A17" i="4"/>
  <c r="B17" i="4"/>
  <c r="C17" i="4"/>
  <c r="D17" i="4"/>
  <c r="E17" i="4"/>
  <c r="A18" i="4"/>
  <c r="B18" i="4"/>
  <c r="C18" i="4"/>
  <c r="D18" i="4"/>
  <c r="E18" i="4"/>
  <c r="A19" i="4"/>
  <c r="B19" i="4"/>
  <c r="C19" i="4"/>
  <c r="D19" i="4"/>
  <c r="E19" i="4"/>
  <c r="A20" i="4"/>
  <c r="B20" i="4"/>
  <c r="C20" i="4"/>
  <c r="D20" i="4"/>
  <c r="E20" i="4"/>
  <c r="B3" i="4"/>
  <c r="C3" i="4"/>
  <c r="D3" i="4"/>
  <c r="E3" i="4"/>
  <c r="A3" i="4"/>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D3" i="3"/>
  <c r="D4" i="3"/>
  <c r="D5" i="3"/>
  <c r="D6" i="3"/>
  <c r="D7" i="3"/>
  <c r="D8" i="3"/>
  <c r="C3" i="3"/>
  <c r="C4" i="3"/>
  <c r="C5" i="3"/>
  <c r="C6" i="3"/>
  <c r="C7" i="3"/>
  <c r="C17" i="3" s="1"/>
  <c r="C8" i="3"/>
  <c r="B3" i="3"/>
  <c r="B4" i="3"/>
  <c r="B5" i="3"/>
  <c r="B6" i="3"/>
  <c r="B7" i="3"/>
  <c r="A3" i="3"/>
  <c r="E3" i="3" s="1"/>
  <c r="A4" i="3"/>
  <c r="E4" i="3" s="1"/>
  <c r="A5" i="3"/>
  <c r="E5" i="3" s="1"/>
  <c r="A6" i="3"/>
  <c r="E6" i="3" s="1"/>
  <c r="A7" i="3"/>
  <c r="E7" i="3" s="1"/>
  <c r="G4" i="4" l="1"/>
  <c r="G5" i="4"/>
  <c r="G6" i="4"/>
  <c r="G7" i="4"/>
  <c r="G8" i="4"/>
  <c r="G9" i="4"/>
  <c r="G10" i="4"/>
  <c r="G11" i="4"/>
  <c r="G12" i="4"/>
  <c r="G13" i="4"/>
  <c r="G14" i="4"/>
  <c r="G15" i="4"/>
  <c r="G19" i="4"/>
  <c r="G16" i="4"/>
  <c r="G17" i="4"/>
  <c r="G18" i="4"/>
  <c r="F13" i="5"/>
  <c r="F14" i="5"/>
  <c r="F15" i="5"/>
  <c r="F16" i="5"/>
  <c r="F17" i="5"/>
  <c r="F18" i="5"/>
  <c r="F19" i="5"/>
  <c r="F20" i="5"/>
  <c r="F21" i="5"/>
  <c r="F22" i="5"/>
  <c r="F23" i="5"/>
  <c r="F24" i="5"/>
  <c r="F25" i="5"/>
  <c r="F26" i="5"/>
  <c r="F27" i="5"/>
  <c r="F28" i="5"/>
  <c r="F29" i="5"/>
  <c r="G3" i="4"/>
  <c r="B8" i="3"/>
  <c r="E8" i="3"/>
  <c r="C14" i="3"/>
  <c r="C13" i="3"/>
  <c r="C15" i="3"/>
  <c r="C16" i="3"/>
  <c r="B13" i="3"/>
  <c r="D13" i="3" s="1"/>
  <c r="B14" i="3"/>
  <c r="B15" i="3"/>
  <c r="B16" i="3"/>
  <c r="B17" i="3"/>
  <c r="D17" i="3" s="1"/>
  <c r="D14" i="3" l="1"/>
  <c r="D15" i="3"/>
  <c r="D16" i="3"/>
  <c r="E13" i="3" l="1"/>
  <c r="E16" i="3"/>
  <c r="E15" i="3"/>
  <c r="E14" i="3"/>
  <c r="E17" i="3"/>
</calcChain>
</file>

<file path=xl/sharedStrings.xml><?xml version="1.0" encoding="utf-8"?>
<sst xmlns="http://schemas.openxmlformats.org/spreadsheetml/2006/main" count="425" uniqueCount="54">
  <si>
    <t>PO's Placed from 1/25 - 6/26</t>
  </si>
  <si>
    <t>PO #</t>
  </si>
  <si>
    <t>Product</t>
  </si>
  <si>
    <t>QTY</t>
  </si>
  <si>
    <t>Vendor</t>
  </si>
  <si>
    <t>PO Placed</t>
  </si>
  <si>
    <t>PO Completed</t>
  </si>
  <si>
    <t>Lead Time (Days)</t>
  </si>
  <si>
    <t>Product #1</t>
  </si>
  <si>
    <t>Vendor #1</t>
  </si>
  <si>
    <t>Product #3</t>
  </si>
  <si>
    <t>Product #17</t>
  </si>
  <si>
    <t>Vendor #5</t>
  </si>
  <si>
    <t>Product #7</t>
  </si>
  <si>
    <t>Vendor #2</t>
  </si>
  <si>
    <t>Product #15</t>
  </si>
  <si>
    <t>Vendor #4</t>
  </si>
  <si>
    <t>Product #8</t>
  </si>
  <si>
    <t>Vendor #3</t>
  </si>
  <si>
    <t>Product #6</t>
  </si>
  <si>
    <t>Product #10</t>
  </si>
  <si>
    <t>Product #11</t>
  </si>
  <si>
    <t>Product #14</t>
  </si>
  <si>
    <t>Product #16</t>
  </si>
  <si>
    <t>Product #9</t>
  </si>
  <si>
    <t>Product #5</t>
  </si>
  <si>
    <t>Product #2</t>
  </si>
  <si>
    <t>Product #12</t>
  </si>
  <si>
    <t>Product #4</t>
  </si>
  <si>
    <t>Product #13</t>
  </si>
  <si>
    <t>Vendor Breakdown</t>
  </si>
  <si>
    <t>PO's Placed</t>
  </si>
  <si>
    <t>QTY Average</t>
  </si>
  <si>
    <t>Average of Lead Time (Days)</t>
  </si>
  <si>
    <t>Grand Total</t>
  </si>
  <si>
    <t>Qty Average</t>
  </si>
  <si>
    <t>Average Lead Time (Days)</t>
  </si>
  <si>
    <t>Vendor Analysis</t>
  </si>
  <si>
    <t>Speed Score</t>
  </si>
  <si>
    <t>Volume Score</t>
  </si>
  <si>
    <t>Weigted Score</t>
  </si>
  <si>
    <t>Vendor Scorecard</t>
  </si>
  <si>
    <t>Ranking</t>
  </si>
  <si>
    <t>Assesment</t>
  </si>
  <si>
    <t>Review and discuss business relationship</t>
  </si>
  <si>
    <t>Monitor lead times</t>
  </si>
  <si>
    <t>Good Performer - strong volume vendor</t>
  </si>
  <si>
    <t xml:space="preserve">Good Performer - strong lead time </t>
  </si>
  <si>
    <t>Average of QTY</t>
  </si>
  <si>
    <t>Product Breakdown</t>
  </si>
  <si>
    <t>Sum of QTY</t>
  </si>
  <si>
    <t>On Time %</t>
  </si>
  <si>
    <t>Average</t>
  </si>
  <si>
    <t>Product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</si>
</sst>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0.0"/>
    <numFmt numFmtId="166" formatCode="_(* #,##0_);_(* \(#,##0\);_(* &quot;-&quot;??_);_(@_)"/>
  </numFmts>
  <fonts count="11" x14ac:knownFonts="1">
    <font>
      <sz val="11"/>
      <color theme="1"/>
      <name val="Calibri"/>
      <family val="2"/>
      <scheme val="minor"/>
    </font>
    <font>
      <b/>
      <sz val="11"/>
      <color rgb="FFFFFFFF"/>
      <name val="Calibri"/>
    </font>
    <font>
      <b/>
      <sz val="15"/>
      <color theme="3"/>
      <name val="Calibri"/>
      <scheme val="minor"/>
    </font>
    <font>
      <b/>
      <sz val="13"/>
      <color theme="3"/>
      <name val="Calibri"/>
      <scheme val="minor"/>
    </font>
    <font>
      <b/>
      <sz val="11"/>
      <color theme="1"/>
      <name val="Calibri"/>
      <family val="2"/>
      <scheme val="minor"/>
    </font>
    <font>
      <b/>
      <sz val="18"/>
      <color theme="1"/>
      <name val="Calibri"/>
      <family val="2"/>
      <scheme val="minor"/>
    </font>
    <font>
      <sz val="18"/>
      <color theme="1"/>
      <name val="Calibri"/>
      <family val="2"/>
      <scheme val="minor"/>
    </font>
    <font>
      <b/>
      <sz val="13"/>
      <color theme="3"/>
      <name val="Calibri"/>
      <family val="2"/>
      <scheme val="minor"/>
    </font>
    <font>
      <sz val="9"/>
      <color theme="1"/>
      <name val="Calibri"/>
      <family val="2"/>
      <scheme val="minor"/>
    </font>
    <font>
      <sz val="11"/>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1F4E79"/>
      </patternFill>
    </fill>
    <fill>
      <patternFill patternType="solid">
        <fgColor rgb="FFF2F2F2"/>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4" tint="0.79998168889431442"/>
        <bgColor theme="4" tint="0.79998168889431442"/>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
      <left/>
      <right/>
      <top/>
      <bottom style="thin">
        <color theme="4" tint="0.39997558519241921"/>
      </bottom>
      <diagonal/>
    </border>
  </borders>
  <cellStyleXfs count="5">
    <xf numFmtId="0" fontId="0" fillId="0" borderId="0"/>
    <xf numFmtId="0" fontId="2" fillId="0" borderId="2" applyNumberFormat="0" applyFill="0" applyAlignment="0" applyProtection="0"/>
    <xf numFmtId="0" fontId="3" fillId="0" borderId="3" applyNumberFormat="0" applyFill="0" applyAlignment="0" applyProtection="0"/>
    <xf numFmtId="43" fontId="9" fillId="0" borderId="0" applyFont="0" applyFill="0" applyBorder="0" applyAlignment="0" applyProtection="0"/>
    <xf numFmtId="9" fontId="9" fillId="0" borderId="0" applyFont="0" applyFill="0" applyBorder="0" applyAlignment="0" applyProtection="0"/>
  </cellStyleXfs>
  <cellXfs count="55">
    <xf numFmtId="0" fontId="0" fillId="0" borderId="0" xfId="0"/>
    <xf numFmtId="0" fontId="0" fillId="0" borderId="1" xfId="0" applyBorder="1"/>
    <xf numFmtId="3" fontId="0" fillId="0" borderId="1" xfId="0" applyNumberFormat="1" applyBorder="1"/>
    <xf numFmtId="164" fontId="0" fillId="0" borderId="1" xfId="0" applyNumberFormat="1" applyBorder="1"/>
    <xf numFmtId="0" fontId="0" fillId="3" borderId="1" xfId="0" applyFill="1" applyBorder="1"/>
    <xf numFmtId="3" fontId="0" fillId="3" borderId="1" xfId="0" applyNumberFormat="1" applyFill="1" applyBorder="1"/>
    <xf numFmtId="164" fontId="0" fillId="3" borderId="1" xfId="0" applyNumberFormat="1" applyFill="1" applyBorder="1"/>
    <xf numFmtId="0" fontId="0" fillId="0" borderId="4" xfId="0" applyBorder="1"/>
    <xf numFmtId="0" fontId="0" fillId="3" borderId="4" xfId="0" applyFill="1" applyBorder="1"/>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0" fillId="0" borderId="9" xfId="0" applyBorder="1"/>
    <xf numFmtId="0" fontId="0" fillId="0" borderId="10" xfId="0" applyBorder="1"/>
    <xf numFmtId="3" fontId="0" fillId="0" borderId="10" xfId="0" applyNumberFormat="1" applyBorder="1"/>
    <xf numFmtId="164" fontId="0" fillId="0" borderId="10" xfId="0" applyNumberFormat="1" applyBorder="1"/>
    <xf numFmtId="1" fontId="0" fillId="4" borderId="5" xfId="0" applyNumberFormat="1" applyFill="1" applyBorder="1" applyAlignment="1">
      <alignment horizontal="right"/>
    </xf>
    <xf numFmtId="1" fontId="0" fillId="5" borderId="5" xfId="0" applyNumberFormat="1" applyFill="1" applyBorder="1" applyAlignment="1">
      <alignment horizontal="right"/>
    </xf>
    <xf numFmtId="0" fontId="0" fillId="0" borderId="5" xfId="0" applyBorder="1" applyAlignment="1">
      <alignment horizontal="right"/>
    </xf>
    <xf numFmtId="0" fontId="0" fillId="3" borderId="5" xfId="0" applyFill="1" applyBorder="1" applyAlignment="1">
      <alignment horizontal="right"/>
    </xf>
    <xf numFmtId="0" fontId="0" fillId="0" borderId="11" xfId="0" applyBorder="1" applyAlignment="1">
      <alignment horizontal="right"/>
    </xf>
    <xf numFmtId="1" fontId="0" fillId="0" borderId="0" xfId="0" applyNumberFormat="1"/>
    <xf numFmtId="0" fontId="0" fillId="0" borderId="0" xfId="0" pivotButton="1" applyAlignment="1">
      <alignment horizontal="center" vertical="center"/>
    </xf>
    <xf numFmtId="0" fontId="0" fillId="0" borderId="0" xfId="0" applyAlignment="1">
      <alignment horizontal="center" vertical="center" wrapText="1"/>
    </xf>
    <xf numFmtId="1" fontId="0" fillId="0" borderId="0" xfId="0" applyNumberFormat="1" applyAlignment="1">
      <alignment horizontal="center" vertical="center" wrapText="1"/>
    </xf>
    <xf numFmtId="3" fontId="0" fillId="0" borderId="0" xfId="0" applyNumberFormat="1"/>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horizontal="center" vertical="center" wrapText="1"/>
    </xf>
    <xf numFmtId="0" fontId="0" fillId="6" borderId="12" xfId="0" applyFill="1" applyBorder="1" applyAlignment="1">
      <alignment horizontal="center" vertical="center" wrapText="1"/>
    </xf>
    <xf numFmtId="0" fontId="0" fillId="0" borderId="12" xfId="0" applyBorder="1" applyAlignment="1">
      <alignment horizontal="center" vertical="center" wrapText="1"/>
    </xf>
    <xf numFmtId="165" fontId="0" fillId="0" borderId="0" xfId="0" applyNumberFormat="1"/>
    <xf numFmtId="165" fontId="0" fillId="6" borderId="12" xfId="0" applyNumberFormat="1" applyFill="1" applyBorder="1" applyAlignment="1">
      <alignment horizontal="center" vertical="center" wrapText="1"/>
    </xf>
    <xf numFmtId="165" fontId="0" fillId="0" borderId="12" xfId="0" applyNumberFormat="1" applyBorder="1" applyAlignment="1">
      <alignment horizontal="center" vertical="center" wrapText="1"/>
    </xf>
    <xf numFmtId="0" fontId="8" fillId="6" borderId="12" xfId="0" applyFont="1" applyFill="1" applyBorder="1" applyAlignment="1">
      <alignment horizontal="center" vertical="center" wrapText="1"/>
    </xf>
    <xf numFmtId="0" fontId="8" fillId="0" borderId="12" xfId="0" applyFont="1" applyBorder="1" applyAlignment="1">
      <alignment horizontal="center" vertical="center" wrapText="1"/>
    </xf>
    <xf numFmtId="0" fontId="0" fillId="6" borderId="13" xfId="0" applyFill="1" applyBorder="1" applyAlignment="1">
      <alignment horizontal="center" vertical="center" wrapText="1"/>
    </xf>
    <xf numFmtId="165" fontId="0" fillId="6" borderId="13" xfId="0" applyNumberFormat="1" applyFill="1" applyBorder="1" applyAlignment="1">
      <alignment horizontal="center" vertical="center" wrapText="1"/>
    </xf>
    <xf numFmtId="0" fontId="8" fillId="6" borderId="13" xfId="0" applyFont="1" applyFill="1" applyBorder="1" applyAlignment="1">
      <alignment horizontal="center" vertical="center" wrapText="1"/>
    </xf>
    <xf numFmtId="0" fontId="0" fillId="0" borderId="0" xfId="0" applyAlignment="1">
      <alignment horizontal="center" vertical="center"/>
    </xf>
    <xf numFmtId="0" fontId="7" fillId="0" borderId="0" xfId="2" applyFont="1" applyFill="1" applyBorder="1" applyAlignment="1"/>
    <xf numFmtId="9" fontId="0" fillId="0" borderId="0" xfId="4" applyFont="1"/>
    <xf numFmtId="9" fontId="0" fillId="0" borderId="0" xfId="0" applyNumberFormat="1"/>
    <xf numFmtId="0" fontId="4" fillId="6" borderId="14" xfId="0" applyFont="1" applyFill="1" applyBorder="1" applyAlignment="1">
      <alignment horizontal="center" vertical="center" wrapText="1"/>
    </xf>
    <xf numFmtId="166" fontId="0" fillId="0" borderId="0" xfId="3" applyNumberFormat="1" applyFont="1" applyAlignment="1">
      <alignment horizontal="center" vertical="center" wrapText="1"/>
    </xf>
    <xf numFmtId="0" fontId="0" fillId="0" borderId="14" xfId="0" applyBorder="1" applyAlignment="1">
      <alignment horizontal="center" vertical="center" wrapText="1"/>
    </xf>
    <xf numFmtId="0" fontId="10" fillId="0" borderId="0" xfId="0" applyFont="1" applyAlignment="1">
      <alignment horizontal="center" vertical="center" wrapText="1"/>
    </xf>
    <xf numFmtId="0" fontId="10" fillId="0" borderId="0" xfId="0" applyFont="1"/>
    <xf numFmtId="0" fontId="2" fillId="0" borderId="2" xfId="1" applyFill="1" applyAlignment="1">
      <alignment horizontal="center"/>
    </xf>
    <xf numFmtId="0" fontId="3" fillId="0" borderId="0" xfId="2" applyFill="1" applyBorder="1" applyAlignment="1">
      <alignment horizontal="center"/>
    </xf>
    <xf numFmtId="0" fontId="7" fillId="0" borderId="0" xfId="2" applyFont="1" applyFill="1" applyBorder="1" applyAlignment="1">
      <alignment horizontal="center"/>
    </xf>
    <xf numFmtId="0" fontId="0" fillId="0" borderId="0" xfId="0"/>
    <xf numFmtId="0" fontId="3" fillId="0" borderId="0" xfId="2" applyBorder="1" applyAlignment="1">
      <alignment horizontal="center"/>
    </xf>
    <xf numFmtId="9" fontId="0" fillId="0" borderId="0" xfId="4" applyFont="1" applyAlignment="1">
      <alignment horizontal="center" vertical="center" wrapText="1"/>
    </xf>
    <xf numFmtId="0" fontId="0" fillId="0" borderId="0" xfId="0" applyNumberFormat="1"/>
  </cellXfs>
  <cellStyles count="5">
    <cellStyle name="Comma" xfId="3" builtinId="3"/>
    <cellStyle name="Heading 1" xfId="1" builtinId="16"/>
    <cellStyle name="Heading 2" xfId="2" builtinId="17"/>
    <cellStyle name="Normal" xfId="0" builtinId="0"/>
    <cellStyle name="Percent" xfId="4" builtinId="5"/>
  </cellStyles>
  <dxfs count="792">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alignment wrapText="1"/>
    </dxf>
    <dxf>
      <alignment horizontal="center"/>
    </dxf>
    <dxf>
      <alignment horizontal="center"/>
    </dxf>
    <dxf>
      <alignment vertical="center"/>
    </dxf>
    <dxf>
      <alignment vertical="center"/>
    </dxf>
    <dxf>
      <alignment wrapText="1"/>
    </dxf>
    <dxf>
      <numFmt numFmtId="1" formatCode="0"/>
    </dxf>
    <dxf>
      <alignment horizontal="center"/>
    </dxf>
    <dxf>
      <alignment vertical="center"/>
    </dxf>
    <dxf>
      <alignment horizontal="center"/>
    </dxf>
    <dxf>
      <alignment vertical="center"/>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dxf>
    <dxf>
      <numFmt numFmtId="1" formatCode="0"/>
    </dxf>
    <dxf>
      <alignment wrapText="1"/>
    </dxf>
    <dxf>
      <alignment horizontal="center"/>
    </dxf>
    <dxf>
      <alignment horizontal="center"/>
    </dxf>
    <dxf>
      <alignment vertical="center"/>
    </dxf>
    <dxf>
      <alignment vertical="center"/>
    </dxf>
    <dxf>
      <alignment wrapText="1"/>
    </dxf>
    <dxf>
      <numFmt numFmtId="1" formatCode="0"/>
      <alignment horizontal="center" vertical="center" textRotation="0" wrapText="1" indent="0" justifyLastLine="0" shrinkToFit="0" readingOrder="0"/>
    </dxf>
    <dxf>
      <alignment vertical="center"/>
    </dxf>
    <dxf>
      <alignment horizontal="center"/>
    </dxf>
    <dxf>
      <alignment vertical="center"/>
    </dxf>
    <dxf>
      <alignment horizontal="center"/>
    </dxf>
    <dxf>
      <numFmt numFmtId="1" formatCode="0"/>
    </dxf>
    <dxf>
      <alignment wrapText="1"/>
    </dxf>
    <dxf>
      <alignment vertical="center"/>
    </dxf>
    <dxf>
      <alignment vertical="center"/>
    </dxf>
    <dxf>
      <alignment horizontal="center"/>
    </dxf>
    <dxf>
      <alignment horizontal="center"/>
    </dxf>
    <dxf>
      <alignment wrapText="1"/>
    </dxf>
    <dxf>
      <numFmt numFmtId="1" formatCode="0"/>
    </dxf>
    <dxf>
      <alignment wrapText="1"/>
    </dxf>
    <dxf>
      <alignment vertical="center"/>
    </dxf>
    <dxf>
      <alignment vertical="center"/>
    </dxf>
    <dxf>
      <alignment horizontal="center"/>
    </dxf>
    <dxf>
      <alignment horizontal="center"/>
    </dxf>
    <dxf>
      <alignment wrapText="1"/>
    </dxf>
    <dxf>
      <numFmt numFmtId="1" formatCode="0"/>
    </dxf>
    <dxf>
      <numFmt numFmtId="1" formatCode="0"/>
    </dxf>
    <dxf>
      <alignment horizontal="center" vertical="center" textRotation="0" wrapText="1" indent="0" justifyLastLine="0" shrinkToFit="0" readingOrder="0"/>
    </dxf>
    <dxf>
      <numFmt numFmtId="1" formatCode="0"/>
      <alignment horizontal="center" vertical="center" textRotation="0" indent="0" justifyLastLine="0" shrinkToFit="0" readingOrder="0"/>
    </dxf>
    <dxf>
      <numFmt numFmtId="166" formatCode="_(* #,##0_);_(* \(#,##0\);_(* &quot;-&quot;??_);_(@_)"/>
      <alignment horizontal="center" vertical="center" textRotation="0" wrapText="1" indent="0" justifyLastLine="0" shrinkToFit="0" readingOrder="0"/>
    </dxf>
    <dxf>
      <numFmt numFmtId="166" formatCode="_(* #,##0_);_(* \(#,##0\);_(* &quot;-&quot;??_);_(@_)"/>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top/>
        <bottom style="thin">
          <color theme="4" tint="0.39997558519241921"/>
        </bottom>
      </border>
    </dxf>
    <dxf>
      <alignment horizontal="center" vertical="center" textRotation="0" wrapText="1" indent="0" justifyLastLine="0" shrinkToFit="0" readingOrder="0"/>
    </dxf>
    <dxf>
      <border outline="0">
        <bottom style="thin">
          <color theme="4" tint="0.39997558519241921"/>
        </bottom>
      </border>
    </dxf>
    <dxf>
      <alignment horizontal="center"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numFmt numFmtId="165" formatCode="0.0"/>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numFmt numFmtId="165" formatCode="0.0"/>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numFmt numFmtId="165" formatCode="0.0"/>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ck">
          <color theme="4" tint="0.499984740745262"/>
        </top>
        <bottom style="thin">
          <color theme="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dxf>
    <dxf>
      <alignment horizontal="center"/>
    </dxf>
    <dxf>
      <alignment vertical="center"/>
    </dxf>
    <dxf>
      <alignment horizontal="center"/>
    </dxf>
    <dxf>
      <numFmt numFmtId="1" formatCode="0"/>
    </dxf>
    <dxf>
      <alignment wrapText="1"/>
    </dxf>
    <dxf>
      <alignment vertical="center"/>
    </dxf>
    <dxf>
      <alignment vertical="center"/>
    </dxf>
    <dxf>
      <alignment horizontal="center"/>
    </dxf>
    <dxf>
      <alignment horizontal="center"/>
    </dxf>
    <dxf>
      <alignment wrapText="1"/>
    </dxf>
    <dxf>
      <numFmt numFmtId="1" formatCode="0"/>
    </dxf>
    <dxf>
      <alignment wrapText="1"/>
    </dxf>
    <dxf>
      <alignment vertical="center"/>
    </dxf>
    <dxf>
      <alignment vertical="center"/>
    </dxf>
    <dxf>
      <alignment horizontal="center"/>
    </dxf>
    <dxf>
      <alignment horizontal="center"/>
    </dxf>
    <dxf>
      <alignment wrapText="1"/>
    </dxf>
    <dxf>
      <numFmt numFmtId="1" formatCode="0"/>
    </dxf>
    <dxf>
      <numFmt numFmtId="1" formatCode="0"/>
    </dxf>
    <dxf>
      <numFmt numFmtId="167" formatCode="0&quot; Days&quot;"/>
      <alignment horizontal="right" vertical="bottom" textRotation="0" wrapText="0" indent="0" justifyLastLine="0" shrinkToFit="0" readingOrder="0"/>
      <border diagonalUp="0" diagonalDown="0">
        <left style="thin">
          <color rgb="FFBFBFBF"/>
        </left>
        <right/>
        <top style="thin">
          <color rgb="FFBFBFBF"/>
        </top>
        <bottom style="thin">
          <color rgb="FFBFBFBF"/>
        </bottom>
        <vertical/>
        <horizontal/>
      </border>
    </dxf>
    <dxf>
      <numFmt numFmtId="164" formatCode="mm/dd/yyyy"/>
      <border diagonalUp="0" diagonalDown="0">
        <left style="thin">
          <color rgb="FFBFBFBF"/>
        </left>
        <right style="thin">
          <color rgb="FFBFBFBF"/>
        </right>
        <top style="thin">
          <color rgb="FFBFBFBF"/>
        </top>
        <bottom style="thin">
          <color rgb="FFBFBFBF"/>
        </bottom>
        <vertical/>
        <horizontal/>
      </border>
    </dxf>
    <dxf>
      <numFmt numFmtId="164" formatCode="mm/dd/yyyy"/>
      <border diagonalUp="0" diagonalDown="0">
        <left style="thin">
          <color rgb="FFBFBFBF"/>
        </left>
        <right style="thin">
          <color rgb="FFBFBFBF"/>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numFmt numFmtId="3" formatCode="#,##0"/>
      <border diagonalUp="0" diagonalDown="0">
        <left style="thin">
          <color rgb="FFBFBFBF"/>
        </left>
        <right style="thin">
          <color rgb="FFBFBFBF"/>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1"/>
        <color rgb="FFFFFFFF"/>
        <name val="Calibri"/>
        <scheme val="none"/>
      </font>
      <fill>
        <patternFill patternType="solid">
          <fgColor indexed="64"/>
          <bgColor rgb="FF1F4E79"/>
        </patternFill>
      </fill>
      <alignment horizontal="center" vertical="bottom" textRotation="0" wrapText="0"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PO's Placed</a:t>
            </a:r>
          </a:p>
        </c:rich>
      </c:tx>
      <c:layout>
        <c:manualLayout>
          <c:xMode val="edge"/>
          <c:yMode val="edge"/>
          <c:x val="0.4065580595529007"/>
          <c:y val="9.8360655737704927E-3"/>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2E-4829-A016-D47DDA59E1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0-7E2E-4829-A016-D47DDA59E1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7E2E-4829-A016-D47DDA59E1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7E2E-4829-A016-D47DDA59E16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7E2E-4829-A016-D47DDA59E167}"/>
              </c:ext>
            </c:extLst>
          </c:dPt>
          <c:dLbls>
            <c:dLbl>
              <c:idx val="0"/>
              <c:tx>
                <c:rich>
                  <a:bodyPr/>
                  <a:lstStyle/>
                  <a:p>
                    <a:r>
                      <a:rPr lang="en-US"/>
                      <a:t>Vendor #1            29 PO's</a:t>
                    </a:r>
                  </a:p>
                </c:rich>
              </c:tx>
              <c:showLegendKey val="0"/>
              <c:showVal val="1"/>
              <c:showCatName val="1"/>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1-7E2E-4829-A016-D47DDA59E167}"/>
                </c:ext>
              </c:extLst>
            </c:dLbl>
            <c:dLbl>
              <c:idx val="1"/>
              <c:tx>
                <c:rich>
                  <a:bodyPr/>
                  <a:lstStyle/>
                  <a:p>
                    <a:r>
                      <a:rPr lang="en-US"/>
                      <a:t>Vendor #2             32 PO's</a:t>
                    </a:r>
                  </a:p>
                </c:rich>
              </c:tx>
              <c:showLegendKey val="0"/>
              <c:showVal val="1"/>
              <c:showCatName val="1"/>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0-7E2E-4829-A016-D47DDA59E167}"/>
                </c:ext>
              </c:extLst>
            </c:dLbl>
            <c:dLbl>
              <c:idx val="2"/>
              <c:tx>
                <c:rich>
                  <a:bodyPr/>
                  <a:lstStyle/>
                  <a:p>
                    <a:r>
                      <a:rPr lang="en-US"/>
                      <a:t>Vendor #3             28 PO's</a:t>
                    </a:r>
                  </a:p>
                </c:rich>
              </c:tx>
              <c:showLegendKey val="0"/>
              <c:showVal val="1"/>
              <c:showCatName val="1"/>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4-7E2E-4829-A016-D47DDA59E167}"/>
                </c:ext>
              </c:extLst>
            </c:dLbl>
            <c:dLbl>
              <c:idx val="3"/>
              <c:tx>
                <c:rich>
                  <a:bodyPr/>
                  <a:lstStyle/>
                  <a:p>
                    <a:r>
                      <a:rPr lang="en-US"/>
                      <a:t>Vendor #4            47 PO's</a:t>
                    </a:r>
                  </a:p>
                </c:rich>
              </c:tx>
              <c:showLegendKey val="0"/>
              <c:showVal val="1"/>
              <c:showCatName val="1"/>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3-7E2E-4829-A016-D47DDA59E167}"/>
                </c:ext>
              </c:extLst>
            </c:dLbl>
            <c:dLbl>
              <c:idx val="4"/>
              <c:tx>
                <c:rich>
                  <a:bodyPr/>
                  <a:lstStyle/>
                  <a:p>
                    <a:r>
                      <a:rPr lang="en-US"/>
                      <a:t>Vendor #5             21 PO's</a:t>
                    </a:r>
                  </a:p>
                </c:rich>
              </c:tx>
              <c:showLegendKey val="0"/>
              <c:showVal val="1"/>
              <c:showCatName val="1"/>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2-7E2E-4829-A016-D47DDA59E16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rgbClr val="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'Vendor Analysis'!$A$3:$A$7</c:f>
              <c:strCache>
                <c:ptCount val="5"/>
                <c:pt idx="0">
                  <c:v>Vendor #1</c:v>
                </c:pt>
                <c:pt idx="1">
                  <c:v>Vendor #2</c:v>
                </c:pt>
                <c:pt idx="2">
                  <c:v>Vendor #3</c:v>
                </c:pt>
                <c:pt idx="3">
                  <c:v>Vendor #4</c:v>
                </c:pt>
                <c:pt idx="4">
                  <c:v>Vendor #5</c:v>
                </c:pt>
              </c:strCache>
            </c:strRef>
          </c:cat>
          <c:val>
            <c:numRef>
              <c:f>'Vendor Analysis'!$B$3:$B$7</c:f>
              <c:numCache>
                <c:formatCode>General</c:formatCode>
                <c:ptCount val="5"/>
                <c:pt idx="0">
                  <c:v>29</c:v>
                </c:pt>
                <c:pt idx="1">
                  <c:v>32</c:v>
                </c:pt>
                <c:pt idx="2">
                  <c:v>28</c:v>
                </c:pt>
                <c:pt idx="3">
                  <c:v>47</c:v>
                </c:pt>
                <c:pt idx="4">
                  <c:v>21</c:v>
                </c:pt>
              </c:numCache>
            </c:numRef>
          </c:val>
          <c:extLst>
            <c:ext xmlns:c16="http://schemas.microsoft.com/office/drawing/2014/chart" uri="{C3380CC4-5D6E-409C-BE32-E72D297353CC}">
              <c16:uniqueId val="{00000000-DEF5-4E03-BFEC-D55DB1D548E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a:t>
            </a:r>
            <a:r>
              <a:rPr lang="en-US" b="1" baseline="0">
                <a:solidFill>
                  <a:sysClr val="windowText" lastClr="000000"/>
                </a:solidFill>
              </a:rPr>
              <a:t> Bottles per PO</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3"/>
            <c:invertIfNegative val="0"/>
            <c:bubble3D val="0"/>
            <c:spPr>
              <a:solidFill>
                <a:schemeClr val="accent2"/>
              </a:solidFill>
              <a:ln>
                <a:noFill/>
              </a:ln>
              <a:effectLst/>
            </c:spPr>
            <c:extLst>
              <c:ext xmlns:c16="http://schemas.microsoft.com/office/drawing/2014/chart" uri="{C3380CC4-5D6E-409C-BE32-E72D297353CC}">
                <c16:uniqueId val="{00000002-AFAA-4278-9DC4-F2522143280A}"/>
              </c:ext>
            </c:extLst>
          </c:dPt>
          <c:dLbls>
            <c:dLbl>
              <c:idx val="1"/>
              <c:tx>
                <c:rich>
                  <a:bodyPr/>
                  <a:lstStyle/>
                  <a:p>
                    <a:fld id="{12C50469-FAB5-45F5-A21C-71F3E90482D1}" type="VALUE">
                      <a:rPr lang="en-US"/>
                      <a:pPr/>
                      <a:t>[VALUE]</a:t>
                    </a:fld>
                    <a:endParaRPr lang="en-US"/>
                  </a:p>
                  <a:p>
                    <a:r>
                      <a:rPr lang="en-US"/>
                      <a:t>Bottles</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FAA-4278-9DC4-F2522143280A}"/>
                </c:ext>
              </c:extLst>
            </c:dLbl>
            <c:dLbl>
              <c:idx val="2"/>
              <c:tx>
                <c:rich>
                  <a:bodyPr/>
                  <a:lstStyle/>
                  <a:p>
                    <a:fld id="{C02491DB-EFA4-4428-B2A4-D5EE51F2A92E}" type="VALUE">
                      <a:rPr lang="en-US"/>
                      <a:pPr/>
                      <a:t>[VALUE]</a:t>
                    </a:fld>
                    <a:endParaRPr lang="en-US"/>
                  </a:p>
                  <a:p>
                    <a:r>
                      <a:rPr lang="en-US"/>
                      <a:t>Bottles</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FAA-4278-9DC4-F2522143280A}"/>
                </c:ext>
              </c:extLst>
            </c:dLbl>
            <c:dLbl>
              <c:idx val="3"/>
              <c:tx>
                <c:rich>
                  <a:bodyPr/>
                  <a:lstStyle/>
                  <a:p>
                    <a:fld id="{C49E6A30-F157-4833-B5C2-B4C903E3D342}" type="VALUE">
                      <a:rPr lang="en-US"/>
                      <a:pPr/>
                      <a:t>[VALUE]</a:t>
                    </a:fld>
                    <a:endParaRPr lang="en-US"/>
                  </a:p>
                  <a:p>
                    <a:r>
                      <a:rPr lang="en-US"/>
                      <a:t>Bottles</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FAA-4278-9DC4-F2522143280A}"/>
                </c:ext>
              </c:extLst>
            </c:dLbl>
            <c:dLbl>
              <c:idx val="4"/>
              <c:tx>
                <c:rich>
                  <a:bodyPr/>
                  <a:lstStyle/>
                  <a:p>
                    <a:fld id="{677B0F44-FBBD-4F49-90B0-8273BEB21E56}" type="VALUE">
                      <a:rPr lang="en-US"/>
                      <a:pPr/>
                      <a:t>[VALUE]</a:t>
                    </a:fld>
                    <a:endParaRPr lang="en-US"/>
                  </a:p>
                  <a:p>
                    <a:r>
                      <a:rPr lang="en-US"/>
                      <a:t>Bottles</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FAA-4278-9DC4-F2522143280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'Vendor Analysis'!$A$3:$A$7</c:f>
              <c:strCache>
                <c:ptCount val="5"/>
                <c:pt idx="0">
                  <c:v>Vendor #1</c:v>
                </c:pt>
                <c:pt idx="1">
                  <c:v>Vendor #2</c:v>
                </c:pt>
                <c:pt idx="2">
                  <c:v>Vendor #3</c:v>
                </c:pt>
                <c:pt idx="3">
                  <c:v>Vendor #4</c:v>
                </c:pt>
                <c:pt idx="4">
                  <c:v>Vendor #5</c:v>
                </c:pt>
              </c:strCache>
            </c:strRef>
          </c:cat>
          <c:val>
            <c:numRef>
              <c:f>'Vendor Analysis'!$C$3:$C$7</c:f>
              <c:numCache>
                <c:formatCode>0</c:formatCode>
                <c:ptCount val="5"/>
                <c:pt idx="0">
                  <c:v>5000</c:v>
                </c:pt>
                <c:pt idx="1">
                  <c:v>6753.125</c:v>
                </c:pt>
                <c:pt idx="2">
                  <c:v>4003.5714285714284</c:v>
                </c:pt>
                <c:pt idx="3">
                  <c:v>8882.978723404256</c:v>
                </c:pt>
                <c:pt idx="4">
                  <c:v>5733.333333333333</c:v>
                </c:pt>
              </c:numCache>
            </c:numRef>
          </c:val>
          <c:extLst>
            <c:ext xmlns:c16="http://schemas.microsoft.com/office/drawing/2014/chart" uri="{C3380CC4-5D6E-409C-BE32-E72D297353CC}">
              <c16:uniqueId val="{00000000-AFAA-4278-9DC4-F2522143280A}"/>
            </c:ext>
          </c:extLst>
        </c:ser>
        <c:dLbls>
          <c:showLegendKey val="0"/>
          <c:showVal val="0"/>
          <c:showCatName val="0"/>
          <c:showSerName val="0"/>
          <c:showPercent val="0"/>
          <c:showBubbleSize val="0"/>
        </c:dLbls>
        <c:gapWidth val="30"/>
        <c:axId val="1263930048"/>
        <c:axId val="1079636976"/>
      </c:barChart>
      <c:catAx>
        <c:axId val="1263930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9636976"/>
        <c:crosses val="autoZero"/>
        <c:auto val="1"/>
        <c:lblAlgn val="ctr"/>
        <c:lblOffset val="100"/>
        <c:noMultiLvlLbl val="0"/>
      </c:catAx>
      <c:valAx>
        <c:axId val="1079636976"/>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6393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a:t>
            </a:r>
            <a:r>
              <a:rPr lang="en-US" b="1" baseline="0">
                <a:solidFill>
                  <a:sysClr val="windowText" lastClr="000000"/>
                </a:solidFill>
              </a:rPr>
              <a:t> Lead Time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solidFill>
                <a:schemeClr val="tx1">
                  <a:lumMod val="15000"/>
                  <a:lumOff val="85000"/>
                  <a:alpha val="97000"/>
                </a:schemeClr>
              </a:solidFill>
            </a:ln>
            <a:effectLst/>
          </c:spPr>
          <c:invertIfNegative val="0"/>
          <c:dPt>
            <c:idx val="2"/>
            <c:invertIfNegative val="0"/>
            <c:bubble3D val="0"/>
            <c:spPr>
              <a:solidFill>
                <a:schemeClr val="accent2"/>
              </a:solidFill>
              <a:ln>
                <a:solidFill>
                  <a:schemeClr val="tx1">
                    <a:lumMod val="15000"/>
                    <a:lumOff val="85000"/>
                    <a:alpha val="97000"/>
                  </a:schemeClr>
                </a:solidFill>
              </a:ln>
              <a:effectLst/>
            </c:spPr>
            <c:extLst>
              <c:ext xmlns:c16="http://schemas.microsoft.com/office/drawing/2014/chart" uri="{C3380CC4-5D6E-409C-BE32-E72D297353CC}">
                <c16:uniqueId val="{00000004-19C4-43A8-82D1-5142AFC9EAD0}"/>
              </c:ext>
            </c:extLst>
          </c:dPt>
          <c:dLbls>
            <c:dLbl>
              <c:idx val="0"/>
              <c:tx>
                <c:rich>
                  <a:bodyPr/>
                  <a:lstStyle/>
                  <a:p>
                    <a:fld id="{EFC8BAD2-1A66-430D-AE7E-CC34019A8212}" type="VALUE">
                      <a:rPr lang="en-US"/>
                      <a:pPr/>
                      <a:t>[VALUE]</a:t>
                    </a:fld>
                    <a:endParaRPr lang="en-US"/>
                  </a:p>
                  <a:p>
                    <a:r>
                      <a:rPr lang="en-US"/>
                      <a:t>Days</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9C4-43A8-82D1-5142AFC9EAD0}"/>
                </c:ext>
              </c:extLst>
            </c:dLbl>
            <c:dLbl>
              <c:idx val="1"/>
              <c:tx>
                <c:rich>
                  <a:bodyPr/>
                  <a:lstStyle/>
                  <a:p>
                    <a:fld id="{761689EA-9B9D-4C7F-AA38-EA972F4D0321}" type="VALUE">
                      <a:rPr lang="en-US"/>
                      <a:pPr/>
                      <a:t>[VALUE]</a:t>
                    </a:fld>
                    <a:endParaRPr lang="en-US"/>
                  </a:p>
                  <a:p>
                    <a:r>
                      <a:rPr lang="en-US"/>
                      <a:t>Days</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9C4-43A8-82D1-5142AFC9EAD0}"/>
                </c:ext>
              </c:extLst>
            </c:dLbl>
            <c:dLbl>
              <c:idx val="2"/>
              <c:tx>
                <c:rich>
                  <a:bodyPr/>
                  <a:lstStyle/>
                  <a:p>
                    <a:fld id="{7C4D375D-8536-4457-917D-51737A9D2654}" type="VALUE">
                      <a:rPr lang="en-US"/>
                      <a:pPr/>
                      <a:t>[VALUE]</a:t>
                    </a:fld>
                    <a:endParaRPr lang="en-US"/>
                  </a:p>
                  <a:p>
                    <a:r>
                      <a:rPr lang="en-US"/>
                      <a:t>Days</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9C4-43A8-82D1-5142AFC9EAD0}"/>
                </c:ext>
              </c:extLst>
            </c:dLbl>
            <c:dLbl>
              <c:idx val="3"/>
              <c:tx>
                <c:rich>
                  <a:bodyPr/>
                  <a:lstStyle/>
                  <a:p>
                    <a:fld id="{F16D1A33-754C-46CE-92DF-3EFD60A93523}" type="VALUE">
                      <a:rPr lang="en-US"/>
                      <a:pPr/>
                      <a:t>[VALUE]</a:t>
                    </a:fld>
                    <a:endParaRPr lang="en-US"/>
                  </a:p>
                  <a:p>
                    <a:r>
                      <a:rPr lang="en-US"/>
                      <a:t>Days</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9C4-43A8-82D1-5142AFC9EAD0}"/>
                </c:ext>
              </c:extLst>
            </c:dLbl>
            <c:dLbl>
              <c:idx val="4"/>
              <c:tx>
                <c:rich>
                  <a:bodyPr/>
                  <a:lstStyle/>
                  <a:p>
                    <a:fld id="{582F218D-DF0D-4E4A-9A40-DE2523D75457}" type="VALUE">
                      <a:rPr lang="en-US"/>
                      <a:pPr/>
                      <a:t>[VALUE]</a:t>
                    </a:fld>
                    <a:endParaRPr lang="en-US"/>
                  </a:p>
                  <a:p>
                    <a:r>
                      <a:rPr lang="en-US"/>
                      <a:t>Days</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9C4-43A8-82D1-5142AFC9EAD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'Vendor Analysis'!$A$3:$A$7</c:f>
              <c:strCache>
                <c:ptCount val="5"/>
                <c:pt idx="0">
                  <c:v>Vendor #1</c:v>
                </c:pt>
                <c:pt idx="1">
                  <c:v>Vendor #2</c:v>
                </c:pt>
                <c:pt idx="2">
                  <c:v>Vendor #3</c:v>
                </c:pt>
                <c:pt idx="3">
                  <c:v>Vendor #4</c:v>
                </c:pt>
                <c:pt idx="4">
                  <c:v>Vendor #5</c:v>
                </c:pt>
              </c:strCache>
            </c:strRef>
          </c:cat>
          <c:val>
            <c:numRef>
              <c:f>'Vendor Analysis'!$D$3:$D$7</c:f>
              <c:numCache>
                <c:formatCode>0</c:formatCode>
                <c:ptCount val="5"/>
                <c:pt idx="0">
                  <c:v>127.17241379310344</c:v>
                </c:pt>
                <c:pt idx="1">
                  <c:v>90.3125</c:v>
                </c:pt>
                <c:pt idx="2">
                  <c:v>31.071428571428573</c:v>
                </c:pt>
                <c:pt idx="3">
                  <c:v>77.191489361702125</c:v>
                </c:pt>
                <c:pt idx="4">
                  <c:v>82.523809523809518</c:v>
                </c:pt>
              </c:numCache>
            </c:numRef>
          </c:val>
          <c:extLst>
            <c:ext xmlns:c16="http://schemas.microsoft.com/office/drawing/2014/chart" uri="{C3380CC4-5D6E-409C-BE32-E72D297353CC}">
              <c16:uniqueId val="{00000006-19C4-43A8-82D1-5142AFC9EAD0}"/>
            </c:ext>
          </c:extLst>
        </c:ser>
        <c:dLbls>
          <c:showLegendKey val="0"/>
          <c:showVal val="0"/>
          <c:showCatName val="0"/>
          <c:showSerName val="0"/>
          <c:showPercent val="0"/>
          <c:showBubbleSize val="0"/>
        </c:dLbls>
        <c:gapWidth val="30"/>
        <c:axId val="1263930048"/>
        <c:axId val="1079636976"/>
      </c:barChart>
      <c:catAx>
        <c:axId val="1263930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9636976"/>
        <c:crosses val="autoZero"/>
        <c:auto val="1"/>
        <c:lblAlgn val="ctr"/>
        <c:lblOffset val="100"/>
        <c:noMultiLvlLbl val="0"/>
      </c:catAx>
      <c:valAx>
        <c:axId val="1079636976"/>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6393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PO's Placed</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a:rPr>
            <a:t>PO's Placed</a:t>
          </a:r>
        </a:p>
      </cx:txPr>
    </cx:title>
    <cx:plotArea>
      <cx:plotAreaRegion>
        <cx:series layoutId="clusteredColumn" uniqueId="{34451AB2-2C91-4204-BF97-E163FC947315}">
          <cx:tx>
            <cx:txData>
              <cx:f>_xlchart.v1.1</cx:f>
              <cx:v>PO's Placed</cx:v>
            </cx:txData>
          </cx:tx>
          <cx:dataId val="0"/>
          <cx:layoutPr>
            <cx:aggregation/>
          </cx:layoutPr>
          <cx:axisId val="1"/>
        </cx:series>
        <cx:series layoutId="paretoLine" ownerIdx="0" uniqueId="{94E8EE19-CD08-49AF-B38B-F5E7D99461C0}">
          <cx:spPr>
            <a:ln>
              <a:noFill/>
            </a:ln>
            <a:effectLst>
              <a:outerShdw blurRad="50800" dist="50800" dir="5400000" algn="ctr" rotWithShape="0">
                <a:schemeClr val="bg1">
                  <a:alpha val="0"/>
                </a:schemeClr>
              </a:outerShdw>
            </a:effectLst>
          </cx:spPr>
          <cx:axisId val="2"/>
        </cx:series>
      </cx:plotAreaRegion>
      <cx:axis id="0">
        <cx:catScaling gapWidth="0"/>
        <cx:tickLabels/>
      </cx:axis>
      <cx:axis id="1">
        <cx:valScaling/>
        <cx:majorGridlines/>
        <cx:tickLabels/>
      </cx:axis>
      <cx:axis id="2" hidden="1">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Bottles Ordered</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a:rPr>
            <a:t>Bottles Ordered</a:t>
          </a:r>
        </a:p>
      </cx:txPr>
    </cx:title>
    <cx:plotArea>
      <cx:plotAreaRegion>
        <cx:series layoutId="clusteredColumn" uniqueId="{00000001-68C8-4399-A4EA-311F485EAD44}">
          <cx:tx>
            <cx:txData>
              <cx:f>_xlchart.v1.4</cx:f>
              <cx:v>Sum of QTY</cx:v>
            </cx:txData>
          </cx:tx>
          <cx:dataId val="0"/>
          <cx:layoutPr>
            <cx:aggregation/>
          </cx:layoutPr>
          <cx:axisId val="1"/>
        </cx:series>
        <cx:series layoutId="paretoLine" ownerIdx="0" uniqueId="{EEC574BA-9CD3-49F3-94A4-F597ACCBDDAB}">
          <cx:spPr>
            <a:ln>
              <a:noFill/>
            </a:ln>
          </cx:spPr>
          <cx:axisId val="2"/>
        </cx:series>
      </cx:plotAreaRegion>
      <cx:axis id="0">
        <cx:catScaling gapWidth="0"/>
        <cx:tickLabels/>
      </cx:axis>
      <cx:axis id="1">
        <cx:valScaling/>
        <cx:majorGridlines/>
        <cx:tickLabels/>
      </cx:axis>
      <cx:axis id="2" hidden="1">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Average Lead Time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a:rPr>
            <a:t>Average Lead Time</a:t>
          </a:r>
        </a:p>
      </cx:txPr>
    </cx:title>
    <cx:plotArea>
      <cx:plotAreaRegion>
        <cx:series layoutId="clusteredColumn" uniqueId="{00000001-C4CD-4160-B9F9-869F62AA7A29}" formatIdx="0">
          <cx:tx>
            <cx:txData>
              <cx:f>_xlchart.v1.7</cx:f>
              <cx:v>Average Lead Time (Days)</cx:v>
            </cx:txData>
          </cx:tx>
          <cx:dataId val="0"/>
          <cx:layoutPr>
            <cx:aggregation/>
          </cx:layoutPr>
          <cx:axisId val="1"/>
        </cx:series>
        <cx:series layoutId="paretoLine" ownerIdx="0" uniqueId="{F4EB7437-E7FB-4AFE-80A7-94D3E5082978}">
          <cx:spPr>
            <a:ln>
              <a:noFill/>
            </a:ln>
          </cx:spPr>
          <cx:axisId val="2"/>
        </cx:series>
      </cx:plotAreaRegion>
      <cx:axis id="0">
        <cx:catScaling gapWidth="0"/>
        <cx:tickLabels/>
      </cx:axis>
      <cx:axis id="1">
        <cx:valScaling/>
        <cx:majorGridlines/>
        <cx:tickLabels/>
      </cx:axis>
      <cx:axis id="2" hidden="1">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19050</xdr:colOff>
      <xdr:row>18</xdr:row>
      <xdr:rowOff>19051</xdr:rowOff>
    </xdr:from>
    <xdr:to>
      <xdr:col>5</xdr:col>
      <xdr:colOff>491490</xdr:colOff>
      <xdr:row>32</xdr:row>
      <xdr:rowOff>171451</xdr:rowOff>
    </xdr:to>
    <xdr:graphicFrame macro="">
      <xdr:nvGraphicFramePr>
        <xdr:cNvPr id="5" name="Chart 4">
          <a:extLst>
            <a:ext uri="{FF2B5EF4-FFF2-40B4-BE49-F238E27FC236}">
              <a16:creationId xmlns:a16="http://schemas.microsoft.com/office/drawing/2014/main" id="{6456F760-571B-DEF2-ABE6-64531F724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602932</xdr:colOff>
      <xdr:row>18</xdr:row>
      <xdr:rowOff>39052</xdr:rowOff>
    </xdr:from>
    <xdr:to>
      <xdr:col>12</xdr:col>
      <xdr:colOff>316230</xdr:colOff>
      <xdr:row>32</xdr:row>
      <xdr:rowOff>163692</xdr:rowOff>
    </xdr:to>
    <xdr:graphicFrame macro="">
      <xdr:nvGraphicFramePr>
        <xdr:cNvPr id="2" name="Chart 1">
          <a:extLst>
            <a:ext uri="{FF2B5EF4-FFF2-40B4-BE49-F238E27FC236}">
              <a16:creationId xmlns:a16="http://schemas.microsoft.com/office/drawing/2014/main" id="{F02CDB7E-57B7-A146-327B-BBD9DD88B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401955</xdr:colOff>
      <xdr:row>18</xdr:row>
      <xdr:rowOff>53341</xdr:rowOff>
    </xdr:from>
    <xdr:to>
      <xdr:col>20</xdr:col>
      <xdr:colOff>326708</xdr:colOff>
      <xdr:row>33</xdr:row>
      <xdr:rowOff>15240</xdr:rowOff>
    </xdr:to>
    <xdr:graphicFrame macro="">
      <xdr:nvGraphicFramePr>
        <xdr:cNvPr id="3" name="Chart 2">
          <a:extLst>
            <a:ext uri="{FF2B5EF4-FFF2-40B4-BE49-F238E27FC236}">
              <a16:creationId xmlns:a16="http://schemas.microsoft.com/office/drawing/2014/main" id="{250AD7A2-C322-409D-AB60-34F612085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73342</xdr:colOff>
      <xdr:row>21</xdr:row>
      <xdr:rowOff>21907</xdr:rowOff>
    </xdr:from>
    <xdr:to>
      <xdr:col>5</xdr:col>
      <xdr:colOff>626746</xdr:colOff>
      <xdr:row>36</xdr:row>
      <xdr:rowOff>78105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84E4F89-1601-329E-1026-1C4C5572CA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342" y="4041457"/>
              <a:ext cx="5268279" cy="27708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741997</xdr:colOff>
      <xdr:row>21</xdr:row>
      <xdr:rowOff>21907</xdr:rowOff>
    </xdr:from>
    <xdr:to>
      <xdr:col>12</xdr:col>
      <xdr:colOff>152401</xdr:colOff>
      <xdr:row>36</xdr:row>
      <xdr:rowOff>76200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7C0A6FF-F295-436A-88AA-FC47C94A34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56872" y="4041457"/>
              <a:ext cx="5296854" cy="27689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254317</xdr:colOff>
      <xdr:row>21</xdr:row>
      <xdr:rowOff>25717</xdr:rowOff>
    </xdr:from>
    <xdr:to>
      <xdr:col>21</xdr:col>
      <xdr:colOff>47626</xdr:colOff>
      <xdr:row>36</xdr:row>
      <xdr:rowOff>66675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E2AF199-B343-4643-A57D-7F8DBCBB1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855642" y="4045267"/>
              <a:ext cx="5279709" cy="27555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354330</xdr:colOff>
      <xdr:row>10</xdr:row>
      <xdr:rowOff>207645</xdr:rowOff>
    </xdr:from>
    <xdr:to>
      <xdr:col>8</xdr:col>
      <xdr:colOff>550545</xdr:colOff>
      <xdr:row>18</xdr:row>
      <xdr:rowOff>152400</xdr:rowOff>
    </xdr:to>
    <mc:AlternateContent xmlns:mc="http://schemas.openxmlformats.org/markup-compatibility/2006">
      <mc:Choice xmlns:a14="http://schemas.microsoft.com/office/drawing/2010/main" Requires="a14">
        <xdr:graphicFrame macro="">
          <xdr:nvGraphicFramePr>
            <xdr:cNvPr id="2" name="Vendor 2">
              <a:extLst>
                <a:ext uri="{FF2B5EF4-FFF2-40B4-BE49-F238E27FC236}">
                  <a16:creationId xmlns:a16="http://schemas.microsoft.com/office/drawing/2014/main" id="{C3D3D632-6BF4-4140-86D6-2371F0E14E10}"/>
                </a:ext>
              </a:extLst>
            </xdr:cNvPr>
            <xdr:cNvGraphicFramePr/>
          </xdr:nvGraphicFramePr>
          <xdr:xfrm>
            <a:off x="0" y="0"/>
            <a:ext cx="0" cy="0"/>
          </xdr:xfrm>
          <a:graphic>
            <a:graphicData uri="http://schemas.microsoft.com/office/drawing/2010/slicer">
              <sle:slicer xmlns:sle="http://schemas.microsoft.com/office/drawing/2010/slicer" name="Vendor 2"/>
            </a:graphicData>
          </a:graphic>
        </xdr:graphicFrame>
      </mc:Choice>
      <mc:Fallback>
        <xdr:sp macro="" textlink="">
          <xdr:nvSpPr>
            <xdr:cNvPr id="0" name=""/>
            <xdr:cNvSpPr>
              <a:spLocks noTextEdit="1"/>
            </xdr:cNvSpPr>
          </xdr:nvSpPr>
          <xdr:spPr>
            <a:xfrm>
              <a:off x="5320665" y="2430780"/>
              <a:ext cx="1815465" cy="1798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262890</xdr:colOff>
      <xdr:row>1</xdr:row>
      <xdr:rowOff>5715</xdr:rowOff>
    </xdr:from>
    <xdr:to>
      <xdr:col>7</xdr:col>
      <xdr:colOff>243841</xdr:colOff>
      <xdr:row>8</xdr:row>
      <xdr:rowOff>171450</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14CDBFE0-0470-49CC-83BA-9F7D0146D52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082290" y="226695"/>
              <a:ext cx="2937511" cy="1798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ob Moriones" refreshedDate="46302.599719907405" createdVersion="8" refreshedVersion="8" minRefreshableVersion="3" recordCount="157" xr:uid="{6AEBA824-7B27-43C6-9C24-3BB3053E5102}">
  <cacheSource type="worksheet">
    <worksheetSource name="Table3"/>
  </cacheSource>
  <cacheFields count="7">
    <cacheField name="PO #" numFmtId="0">
      <sharedItems containsSemiMixedTypes="0" containsString="0" containsNumber="1" containsInteger="1" minValue="4521" maxValue="4710"/>
    </cacheField>
    <cacheField name="Product" numFmtId="0">
      <sharedItems count="17">
        <s v="Product #1"/>
        <s v="Product #3"/>
        <s v="Product #17"/>
        <s v="Product #7"/>
        <s v="Product #15"/>
        <s v="Product #8"/>
        <s v="Product #6"/>
        <s v="Product #10"/>
        <s v="Product #11"/>
        <s v="Product #14"/>
        <s v="Product #16"/>
        <s v="Product #9"/>
        <s v="Product #5"/>
        <s v="Product #2"/>
        <s v="Product #12"/>
        <s v="Product #4"/>
        <s v="Product #13"/>
      </sharedItems>
    </cacheField>
    <cacheField name="QTY" numFmtId="3">
      <sharedItems containsSemiMixedTypes="0" containsString="0" containsNumber="1" containsInteger="1" minValue="1600" maxValue="11900"/>
    </cacheField>
    <cacheField name="Vendor" numFmtId="0">
      <sharedItems count="5">
        <s v="Vendor #1"/>
        <s v="Vendor #5"/>
        <s v="Vendor #2"/>
        <s v="Vendor #4"/>
        <s v="Vendor #3"/>
      </sharedItems>
    </cacheField>
    <cacheField name="PO Placed" numFmtId="164">
      <sharedItems containsSemiMixedTypes="0" containsNonDate="0" containsDate="1" containsString="0" minDate="2025-01-02T00:00:00" maxDate="2026-07-01T00:00:00"/>
    </cacheField>
    <cacheField name="PO Completed" numFmtId="164">
      <sharedItems containsSemiMixedTypes="0" containsNonDate="0" containsDate="1" containsString="0" minDate="2025-02-01T00:00:00" maxDate="2026-11-05T00:00:00"/>
    </cacheField>
    <cacheField name="Lead Time (Days)" numFmtId="0">
      <sharedItems containsSemiMixedTypes="0" containsString="0" containsNumber="1" containsInteger="1" minValue="14" maxValue="180"/>
    </cacheField>
  </cacheFields>
  <extLst>
    <ext xmlns:x14="http://schemas.microsoft.com/office/spreadsheetml/2009/9/main" uri="{725AE2AE-9491-48be-B2B4-4EB974FC3084}">
      <x14:pivotCacheDefinition pivotCacheId="58981166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n v="4521"/>
    <x v="0"/>
    <n v="4900"/>
    <x v="0"/>
    <d v="2025-01-02T00:00:00"/>
    <d v="2025-06-07T00:00:00"/>
    <n v="156"/>
  </r>
  <r>
    <n v="4522"/>
    <x v="1"/>
    <n v="2500"/>
    <x v="0"/>
    <d v="2025-01-08T00:00:00"/>
    <d v="2025-05-16T00:00:00"/>
    <n v="128"/>
  </r>
  <r>
    <n v="4523"/>
    <x v="2"/>
    <n v="7200"/>
    <x v="1"/>
    <d v="2025-01-09T00:00:00"/>
    <d v="2025-02-23T00:00:00"/>
    <n v="45"/>
  </r>
  <r>
    <n v="4524"/>
    <x v="3"/>
    <n v="6800"/>
    <x v="2"/>
    <d v="2025-01-10T00:00:00"/>
    <d v="2025-03-06T00:00:00"/>
    <n v="55"/>
  </r>
  <r>
    <n v="4525"/>
    <x v="4"/>
    <n v="6000"/>
    <x v="3"/>
    <d v="2025-01-14T00:00:00"/>
    <d v="2025-04-04T00:00:00"/>
    <n v="80"/>
  </r>
  <r>
    <n v="4526"/>
    <x v="5"/>
    <n v="3400"/>
    <x v="4"/>
    <d v="2025-01-16T00:00:00"/>
    <d v="2025-02-01T00:00:00"/>
    <n v="16"/>
  </r>
  <r>
    <n v="4527"/>
    <x v="6"/>
    <n v="8400"/>
    <x v="2"/>
    <d v="2025-01-18T00:00:00"/>
    <d v="2025-04-12T00:00:00"/>
    <n v="84"/>
  </r>
  <r>
    <n v="4529"/>
    <x v="7"/>
    <n v="4400"/>
    <x v="4"/>
    <d v="2025-01-19T00:00:00"/>
    <d v="2025-02-05T00:00:00"/>
    <n v="17"/>
  </r>
  <r>
    <n v="4531"/>
    <x v="0"/>
    <n v="2500"/>
    <x v="0"/>
    <d v="2025-01-27T00:00:00"/>
    <d v="2025-04-14T00:00:00"/>
    <n v="77"/>
  </r>
  <r>
    <n v="4532"/>
    <x v="8"/>
    <n v="9600"/>
    <x v="3"/>
    <d v="2025-01-28T00:00:00"/>
    <d v="2025-04-14T00:00:00"/>
    <n v="76"/>
  </r>
  <r>
    <n v="4533"/>
    <x v="3"/>
    <n v="8100"/>
    <x v="2"/>
    <d v="2025-01-29T00:00:00"/>
    <d v="2025-04-06T00:00:00"/>
    <n v="67"/>
  </r>
  <r>
    <n v="4534"/>
    <x v="9"/>
    <n v="9600"/>
    <x v="3"/>
    <d v="2025-01-31T00:00:00"/>
    <d v="2025-04-14T00:00:00"/>
    <n v="73"/>
  </r>
  <r>
    <n v="4535"/>
    <x v="3"/>
    <n v="5500"/>
    <x v="2"/>
    <d v="2025-02-01T00:00:00"/>
    <d v="2025-05-10T00:00:00"/>
    <n v="98"/>
  </r>
  <r>
    <n v="4536"/>
    <x v="10"/>
    <n v="3500"/>
    <x v="1"/>
    <d v="2025-02-02T00:00:00"/>
    <d v="2025-06-06T00:00:00"/>
    <n v="124"/>
  </r>
  <r>
    <n v="4537"/>
    <x v="1"/>
    <n v="4100"/>
    <x v="0"/>
    <d v="2025-02-03T00:00:00"/>
    <d v="2025-07-22T00:00:00"/>
    <n v="169"/>
  </r>
  <r>
    <n v="4538"/>
    <x v="9"/>
    <n v="10800"/>
    <x v="4"/>
    <d v="2025-02-07T00:00:00"/>
    <d v="2025-02-28T00:00:00"/>
    <n v="21"/>
  </r>
  <r>
    <n v="4539"/>
    <x v="6"/>
    <n v="9000"/>
    <x v="2"/>
    <d v="2025-02-09T00:00:00"/>
    <d v="2025-05-05T00:00:00"/>
    <n v="85"/>
  </r>
  <r>
    <n v="4541"/>
    <x v="8"/>
    <n v="10000"/>
    <x v="3"/>
    <d v="2025-02-10T00:00:00"/>
    <d v="2025-05-26T00:00:00"/>
    <n v="105"/>
  </r>
  <r>
    <n v="4543"/>
    <x v="11"/>
    <n v="4300"/>
    <x v="4"/>
    <d v="2025-02-11T00:00:00"/>
    <d v="2025-03-07T00:00:00"/>
    <n v="24"/>
  </r>
  <r>
    <n v="4545"/>
    <x v="0"/>
    <n v="3700"/>
    <x v="0"/>
    <d v="2025-02-13T00:00:00"/>
    <d v="2025-06-06T00:00:00"/>
    <n v="113"/>
  </r>
  <r>
    <n v="4547"/>
    <x v="0"/>
    <n v="4400"/>
    <x v="0"/>
    <d v="2025-02-14T00:00:00"/>
    <d v="2025-05-24T00:00:00"/>
    <n v="99"/>
  </r>
  <r>
    <n v="4548"/>
    <x v="12"/>
    <n v="8800"/>
    <x v="2"/>
    <d v="2025-02-15T00:00:00"/>
    <d v="2025-07-03T00:00:00"/>
    <n v="138"/>
  </r>
  <r>
    <n v="4549"/>
    <x v="11"/>
    <n v="3100"/>
    <x v="4"/>
    <d v="2025-02-20T00:00:00"/>
    <d v="2025-03-28T00:00:00"/>
    <n v="36"/>
  </r>
  <r>
    <n v="4550"/>
    <x v="13"/>
    <n v="3200"/>
    <x v="0"/>
    <d v="2025-02-21T00:00:00"/>
    <d v="2025-06-25T00:00:00"/>
    <n v="124"/>
  </r>
  <r>
    <n v="4551"/>
    <x v="9"/>
    <n v="8700"/>
    <x v="3"/>
    <d v="2025-02-26T00:00:00"/>
    <d v="2025-04-08T00:00:00"/>
    <n v="41"/>
  </r>
  <r>
    <n v="4552"/>
    <x v="6"/>
    <n v="7200"/>
    <x v="2"/>
    <d v="2025-02-27T00:00:00"/>
    <d v="2025-07-06T00:00:00"/>
    <n v="129"/>
  </r>
  <r>
    <n v="4554"/>
    <x v="14"/>
    <n v="6100"/>
    <x v="3"/>
    <d v="2025-03-02T00:00:00"/>
    <d v="2025-06-06T00:00:00"/>
    <n v="96"/>
  </r>
  <r>
    <n v="4555"/>
    <x v="13"/>
    <n v="7400"/>
    <x v="0"/>
    <d v="2025-03-08T00:00:00"/>
    <d v="2025-07-14T00:00:00"/>
    <n v="128"/>
  </r>
  <r>
    <n v="4556"/>
    <x v="7"/>
    <n v="4500"/>
    <x v="4"/>
    <d v="2025-03-09T00:00:00"/>
    <d v="2025-03-23T00:00:00"/>
    <n v="14"/>
  </r>
  <r>
    <n v="4558"/>
    <x v="14"/>
    <n v="8500"/>
    <x v="3"/>
    <d v="2025-03-17T00:00:00"/>
    <d v="2025-06-24T00:00:00"/>
    <n v="99"/>
  </r>
  <r>
    <n v="4559"/>
    <x v="7"/>
    <n v="4900"/>
    <x v="4"/>
    <d v="2025-03-18T00:00:00"/>
    <d v="2025-04-05T00:00:00"/>
    <n v="18"/>
  </r>
  <r>
    <n v="4560"/>
    <x v="12"/>
    <n v="6300"/>
    <x v="2"/>
    <d v="2025-03-19T00:00:00"/>
    <d v="2025-05-13T00:00:00"/>
    <n v="55"/>
  </r>
  <r>
    <n v="4561"/>
    <x v="8"/>
    <n v="11500"/>
    <x v="3"/>
    <d v="2025-03-20T00:00:00"/>
    <d v="2025-05-20T00:00:00"/>
    <n v="61"/>
  </r>
  <r>
    <n v="4562"/>
    <x v="3"/>
    <n v="4200"/>
    <x v="2"/>
    <d v="2025-03-21T00:00:00"/>
    <d v="2025-06-01T00:00:00"/>
    <n v="72"/>
  </r>
  <r>
    <n v="4563"/>
    <x v="9"/>
    <n v="11400"/>
    <x v="3"/>
    <d v="2025-03-23T00:00:00"/>
    <d v="2025-05-20T00:00:00"/>
    <n v="58"/>
  </r>
  <r>
    <n v="4564"/>
    <x v="11"/>
    <n v="1700"/>
    <x v="4"/>
    <d v="2025-03-24T00:00:00"/>
    <d v="2025-04-17T00:00:00"/>
    <n v="24"/>
  </r>
  <r>
    <n v="4565"/>
    <x v="7"/>
    <n v="3100"/>
    <x v="4"/>
    <d v="2025-03-25T00:00:00"/>
    <d v="2025-05-03T00:00:00"/>
    <n v="39"/>
  </r>
  <r>
    <n v="4566"/>
    <x v="10"/>
    <n v="8600"/>
    <x v="1"/>
    <d v="2025-03-26T00:00:00"/>
    <d v="2025-05-07T00:00:00"/>
    <n v="42"/>
  </r>
  <r>
    <n v="4567"/>
    <x v="11"/>
    <n v="2200"/>
    <x v="4"/>
    <d v="2025-03-29T00:00:00"/>
    <d v="2025-05-06T00:00:00"/>
    <n v="38"/>
  </r>
  <r>
    <n v="4568"/>
    <x v="8"/>
    <n v="11400"/>
    <x v="3"/>
    <d v="2025-03-31T00:00:00"/>
    <d v="2025-05-31T00:00:00"/>
    <n v="61"/>
  </r>
  <r>
    <n v="4569"/>
    <x v="10"/>
    <n v="6300"/>
    <x v="1"/>
    <d v="2025-04-01T00:00:00"/>
    <d v="2025-06-04T00:00:00"/>
    <n v="64"/>
  </r>
  <r>
    <n v="4570"/>
    <x v="8"/>
    <n v="9000"/>
    <x v="3"/>
    <d v="2025-04-02T00:00:00"/>
    <d v="2025-05-25T00:00:00"/>
    <n v="53"/>
  </r>
  <r>
    <n v="4572"/>
    <x v="1"/>
    <n v="5600"/>
    <x v="0"/>
    <d v="2025-04-03T00:00:00"/>
    <d v="2025-06-27T00:00:00"/>
    <n v="85"/>
  </r>
  <r>
    <n v="4573"/>
    <x v="8"/>
    <n v="8800"/>
    <x v="3"/>
    <d v="2025-04-08T00:00:00"/>
    <d v="2025-07-30T00:00:00"/>
    <n v="113"/>
  </r>
  <r>
    <n v="4574"/>
    <x v="7"/>
    <n v="1700"/>
    <x v="4"/>
    <d v="2025-04-09T00:00:00"/>
    <d v="2025-05-24T00:00:00"/>
    <n v="45"/>
  </r>
  <r>
    <n v="4575"/>
    <x v="5"/>
    <n v="4200"/>
    <x v="4"/>
    <d v="2025-04-12T00:00:00"/>
    <d v="2025-05-11T00:00:00"/>
    <n v="29"/>
  </r>
  <r>
    <n v="4576"/>
    <x v="7"/>
    <n v="2400"/>
    <x v="4"/>
    <d v="2025-04-14T00:00:00"/>
    <d v="2025-05-29T00:00:00"/>
    <n v="45"/>
  </r>
  <r>
    <n v="4577"/>
    <x v="8"/>
    <n v="6300"/>
    <x v="3"/>
    <d v="2025-04-15T00:00:00"/>
    <d v="2025-07-04T00:00:00"/>
    <n v="80"/>
  </r>
  <r>
    <n v="4578"/>
    <x v="1"/>
    <n v="7900"/>
    <x v="0"/>
    <d v="2025-04-16T00:00:00"/>
    <d v="2025-07-16T00:00:00"/>
    <n v="91"/>
  </r>
  <r>
    <n v="4579"/>
    <x v="12"/>
    <n v="5900"/>
    <x v="4"/>
    <d v="2025-04-17T00:00:00"/>
    <d v="2025-05-15T00:00:00"/>
    <n v="28"/>
  </r>
  <r>
    <n v="4581"/>
    <x v="8"/>
    <n v="10100"/>
    <x v="3"/>
    <d v="2025-04-20T00:00:00"/>
    <d v="2025-06-08T00:00:00"/>
    <n v="49"/>
  </r>
  <r>
    <n v="4583"/>
    <x v="14"/>
    <n v="6400"/>
    <x v="3"/>
    <d v="2025-04-21T00:00:00"/>
    <d v="2025-07-04T00:00:00"/>
    <n v="74"/>
  </r>
  <r>
    <n v="4584"/>
    <x v="0"/>
    <n v="4500"/>
    <x v="0"/>
    <d v="2025-04-25T00:00:00"/>
    <d v="2025-09-06T00:00:00"/>
    <n v="134"/>
  </r>
  <r>
    <n v="4585"/>
    <x v="8"/>
    <n v="9400"/>
    <x v="3"/>
    <d v="2025-04-26T00:00:00"/>
    <d v="2025-07-23T00:00:00"/>
    <n v="88"/>
  </r>
  <r>
    <n v="4587"/>
    <x v="12"/>
    <n v="7700"/>
    <x v="2"/>
    <d v="2025-04-27T00:00:00"/>
    <d v="2025-08-28T00:00:00"/>
    <n v="123"/>
  </r>
  <r>
    <n v="4588"/>
    <x v="2"/>
    <n v="7700"/>
    <x v="1"/>
    <d v="2025-04-29T00:00:00"/>
    <d v="2025-09-12T00:00:00"/>
    <n v="136"/>
  </r>
  <r>
    <n v="4589"/>
    <x v="14"/>
    <n v="11500"/>
    <x v="3"/>
    <d v="2025-04-30T00:00:00"/>
    <d v="2025-06-27T00:00:00"/>
    <n v="58"/>
  </r>
  <r>
    <n v="4590"/>
    <x v="2"/>
    <n v="8200"/>
    <x v="1"/>
    <d v="2025-05-04T00:00:00"/>
    <d v="2025-06-20T00:00:00"/>
    <n v="47"/>
  </r>
  <r>
    <n v="4591"/>
    <x v="6"/>
    <n v="6600"/>
    <x v="2"/>
    <d v="2025-05-05T00:00:00"/>
    <d v="2025-09-09T00:00:00"/>
    <n v="127"/>
  </r>
  <r>
    <n v="4593"/>
    <x v="4"/>
    <n v="3400"/>
    <x v="1"/>
    <d v="2025-05-07T00:00:00"/>
    <d v="2025-08-08T00:00:00"/>
    <n v="93"/>
  </r>
  <r>
    <n v="4594"/>
    <x v="1"/>
    <n v="6100"/>
    <x v="0"/>
    <d v="2025-05-10T00:00:00"/>
    <d v="2025-11-06T00:00:00"/>
    <n v="180"/>
  </r>
  <r>
    <n v="4595"/>
    <x v="1"/>
    <n v="5800"/>
    <x v="0"/>
    <d v="2025-05-11T00:00:00"/>
    <d v="2025-09-06T00:00:00"/>
    <n v="118"/>
  </r>
  <r>
    <n v="4596"/>
    <x v="4"/>
    <n v="2200"/>
    <x v="0"/>
    <d v="2025-05-15T00:00:00"/>
    <d v="2025-10-10T00:00:00"/>
    <n v="148"/>
  </r>
  <r>
    <n v="4598"/>
    <x v="8"/>
    <n v="8400"/>
    <x v="3"/>
    <d v="2025-05-20T00:00:00"/>
    <d v="2025-07-11T00:00:00"/>
    <n v="52"/>
  </r>
  <r>
    <n v="4599"/>
    <x v="12"/>
    <n v="4900"/>
    <x v="2"/>
    <d v="2025-05-22T00:00:00"/>
    <d v="2025-07-30T00:00:00"/>
    <n v="69"/>
  </r>
  <r>
    <n v="4600"/>
    <x v="14"/>
    <n v="5500"/>
    <x v="3"/>
    <d v="2025-06-03T00:00:00"/>
    <d v="2025-07-15T00:00:00"/>
    <n v="42"/>
  </r>
  <r>
    <n v="4601"/>
    <x v="7"/>
    <n v="2400"/>
    <x v="4"/>
    <d v="2025-06-06T00:00:00"/>
    <d v="2025-06-26T00:00:00"/>
    <n v="20"/>
  </r>
  <r>
    <n v="4602"/>
    <x v="0"/>
    <n v="2200"/>
    <x v="0"/>
    <d v="2025-06-07T00:00:00"/>
    <d v="2025-09-09T00:00:00"/>
    <n v="94"/>
  </r>
  <r>
    <n v="4603"/>
    <x v="7"/>
    <n v="2500"/>
    <x v="4"/>
    <d v="2025-06-14T00:00:00"/>
    <d v="2025-07-30T00:00:00"/>
    <n v="46"/>
  </r>
  <r>
    <n v="4605"/>
    <x v="15"/>
    <n v="6800"/>
    <x v="0"/>
    <d v="2025-06-17T00:00:00"/>
    <d v="2025-10-14T00:00:00"/>
    <n v="119"/>
  </r>
  <r>
    <n v="4606"/>
    <x v="4"/>
    <n v="8100"/>
    <x v="1"/>
    <d v="2025-06-18T00:00:00"/>
    <d v="2025-11-03T00:00:00"/>
    <n v="138"/>
  </r>
  <r>
    <n v="4607"/>
    <x v="14"/>
    <n v="8500"/>
    <x v="3"/>
    <d v="2025-06-20T00:00:00"/>
    <d v="2025-10-10T00:00:00"/>
    <n v="112"/>
  </r>
  <r>
    <n v="4608"/>
    <x v="6"/>
    <n v="8500"/>
    <x v="2"/>
    <d v="2025-06-28T00:00:00"/>
    <d v="2025-10-25T00:00:00"/>
    <n v="119"/>
  </r>
  <r>
    <n v="4609"/>
    <x v="1"/>
    <n v="7300"/>
    <x v="0"/>
    <d v="2025-06-29T00:00:00"/>
    <d v="2025-12-08T00:00:00"/>
    <n v="162"/>
  </r>
  <r>
    <n v="4610"/>
    <x v="9"/>
    <n v="6400"/>
    <x v="3"/>
    <d v="2025-07-19T00:00:00"/>
    <d v="2025-09-06T00:00:00"/>
    <n v="49"/>
  </r>
  <r>
    <n v="4611"/>
    <x v="6"/>
    <n v="4100"/>
    <x v="2"/>
    <d v="2025-07-25T00:00:00"/>
    <d v="2025-10-06T00:00:00"/>
    <n v="73"/>
  </r>
  <r>
    <n v="4613"/>
    <x v="13"/>
    <n v="7700"/>
    <x v="0"/>
    <d v="2025-07-27T00:00:00"/>
    <d v="2026-01-03T00:00:00"/>
    <n v="160"/>
  </r>
  <r>
    <n v="4614"/>
    <x v="12"/>
    <n v="7400"/>
    <x v="2"/>
    <d v="2025-08-03T00:00:00"/>
    <d v="2025-11-05T00:00:00"/>
    <n v="94"/>
  </r>
  <r>
    <n v="4615"/>
    <x v="8"/>
    <n v="9500"/>
    <x v="3"/>
    <d v="2025-08-04T00:00:00"/>
    <d v="2025-11-05T00:00:00"/>
    <n v="93"/>
  </r>
  <r>
    <n v="4616"/>
    <x v="14"/>
    <n v="5800"/>
    <x v="1"/>
    <d v="2025-08-09T00:00:00"/>
    <d v="2025-10-04T00:00:00"/>
    <n v="56"/>
  </r>
  <r>
    <n v="4617"/>
    <x v="5"/>
    <n v="4000"/>
    <x v="4"/>
    <d v="2025-08-17T00:00:00"/>
    <d v="2025-09-23T00:00:00"/>
    <n v="37"/>
  </r>
  <r>
    <n v="4618"/>
    <x v="1"/>
    <n v="3700"/>
    <x v="0"/>
    <d v="2025-08-19T00:00:00"/>
    <d v="2025-12-09T00:00:00"/>
    <n v="112"/>
  </r>
  <r>
    <n v="4620"/>
    <x v="8"/>
    <n v="8600"/>
    <x v="3"/>
    <d v="2025-08-25T00:00:00"/>
    <d v="2025-12-05T00:00:00"/>
    <n v="102"/>
  </r>
  <r>
    <n v="4621"/>
    <x v="16"/>
    <n v="9500"/>
    <x v="3"/>
    <d v="2025-09-11T00:00:00"/>
    <d v="2025-12-01T00:00:00"/>
    <n v="81"/>
  </r>
  <r>
    <n v="4622"/>
    <x v="5"/>
    <n v="1600"/>
    <x v="4"/>
    <d v="2025-10-02T00:00:00"/>
    <d v="2025-10-31T00:00:00"/>
    <n v="29"/>
  </r>
  <r>
    <n v="4623"/>
    <x v="10"/>
    <n v="6300"/>
    <x v="1"/>
    <d v="2025-10-12T00:00:00"/>
    <d v="2025-11-17T00:00:00"/>
    <n v="36"/>
  </r>
  <r>
    <n v="4624"/>
    <x v="11"/>
    <n v="2600"/>
    <x v="4"/>
    <d v="2025-10-17T00:00:00"/>
    <d v="2025-11-10T00:00:00"/>
    <n v="24"/>
  </r>
  <r>
    <n v="4626"/>
    <x v="6"/>
    <n v="5600"/>
    <x v="2"/>
    <d v="2025-10-26T00:00:00"/>
    <d v="2026-02-26T00:00:00"/>
    <n v="123"/>
  </r>
  <r>
    <n v="4627"/>
    <x v="0"/>
    <n v="5500"/>
    <x v="2"/>
    <d v="2025-11-07T00:00:00"/>
    <d v="2026-02-13T00:00:00"/>
    <n v="98"/>
  </r>
  <r>
    <n v="4628"/>
    <x v="9"/>
    <n v="5400"/>
    <x v="3"/>
    <d v="2025-12-16T00:00:00"/>
    <d v="2026-02-11T00:00:00"/>
    <n v="57"/>
  </r>
  <r>
    <n v="4629"/>
    <x v="13"/>
    <n v="6300"/>
    <x v="0"/>
    <d v="2025-12-17T00:00:00"/>
    <d v="2026-04-13T00:00:00"/>
    <n v="117"/>
  </r>
  <r>
    <n v="4630"/>
    <x v="11"/>
    <n v="2000"/>
    <x v="4"/>
    <d v="2025-12-18T00:00:00"/>
    <d v="2026-01-26T00:00:00"/>
    <n v="39"/>
  </r>
  <r>
    <n v="4631"/>
    <x v="8"/>
    <n v="10700"/>
    <x v="3"/>
    <d v="2026-01-01T00:00:00"/>
    <d v="2026-04-23T00:00:00"/>
    <n v="112"/>
  </r>
  <r>
    <n v="4632"/>
    <x v="4"/>
    <n v="6900"/>
    <x v="1"/>
    <d v="2026-01-02T00:00:00"/>
    <d v="2026-02-07T00:00:00"/>
    <n v="36"/>
  </r>
  <r>
    <n v="4633"/>
    <x v="7"/>
    <n v="4400"/>
    <x v="4"/>
    <d v="2026-01-05T00:00:00"/>
    <d v="2026-02-01T00:00:00"/>
    <n v="27"/>
  </r>
  <r>
    <n v="4634"/>
    <x v="1"/>
    <n v="2800"/>
    <x v="0"/>
    <d v="2026-01-06T00:00:00"/>
    <d v="2026-05-03T00:00:00"/>
    <n v="117"/>
  </r>
  <r>
    <n v="4636"/>
    <x v="6"/>
    <n v="8100"/>
    <x v="2"/>
    <d v="2026-01-07T00:00:00"/>
    <d v="2026-03-29T00:00:00"/>
    <n v="81"/>
  </r>
  <r>
    <n v="4638"/>
    <x v="4"/>
    <n v="8700"/>
    <x v="1"/>
    <d v="2026-01-11T00:00:00"/>
    <d v="2026-05-10T00:00:00"/>
    <n v="119"/>
  </r>
  <r>
    <n v="4639"/>
    <x v="7"/>
    <n v="4600"/>
    <x v="4"/>
    <d v="2026-01-13T00:00:00"/>
    <d v="2026-02-25T00:00:00"/>
    <n v="43"/>
  </r>
  <r>
    <n v="4641"/>
    <x v="10"/>
    <n v="3900"/>
    <x v="1"/>
    <d v="2026-01-14T00:00:00"/>
    <d v="2026-04-25T00:00:00"/>
    <n v="101"/>
  </r>
  <r>
    <n v="4643"/>
    <x v="16"/>
    <n v="9400"/>
    <x v="3"/>
    <d v="2026-01-19T00:00:00"/>
    <d v="2026-04-25T00:00:00"/>
    <n v="96"/>
  </r>
  <r>
    <n v="4644"/>
    <x v="12"/>
    <n v="7900"/>
    <x v="2"/>
    <d v="2026-01-20T00:00:00"/>
    <d v="2026-03-27T00:00:00"/>
    <n v="66"/>
  </r>
  <r>
    <n v="4645"/>
    <x v="14"/>
    <n v="6800"/>
    <x v="4"/>
    <d v="2026-01-25T00:00:00"/>
    <d v="2026-02-10T00:00:00"/>
    <n v="16"/>
  </r>
  <r>
    <n v="4646"/>
    <x v="1"/>
    <n v="3700"/>
    <x v="0"/>
    <d v="2026-01-26T00:00:00"/>
    <d v="2026-06-28T00:00:00"/>
    <n v="153"/>
  </r>
  <r>
    <n v="4647"/>
    <x v="8"/>
    <n v="11900"/>
    <x v="3"/>
    <d v="2026-01-30T00:00:00"/>
    <d v="2026-04-20T00:00:00"/>
    <n v="80"/>
  </r>
  <r>
    <n v="4648"/>
    <x v="12"/>
    <n v="7000"/>
    <x v="2"/>
    <d v="2026-01-31T00:00:00"/>
    <d v="2026-04-01T00:00:00"/>
    <n v="60"/>
  </r>
  <r>
    <n v="4649"/>
    <x v="4"/>
    <n v="7700"/>
    <x v="1"/>
    <d v="2026-02-01T00:00:00"/>
    <d v="2026-05-16T00:00:00"/>
    <n v="104"/>
  </r>
  <r>
    <n v="4650"/>
    <x v="11"/>
    <n v="2000"/>
    <x v="4"/>
    <d v="2026-02-04T00:00:00"/>
    <d v="2026-03-17T00:00:00"/>
    <n v="41"/>
  </r>
  <r>
    <n v="4651"/>
    <x v="15"/>
    <n v="7900"/>
    <x v="0"/>
    <d v="2026-02-06T00:00:00"/>
    <d v="2026-06-09T00:00:00"/>
    <n v="123"/>
  </r>
  <r>
    <n v="4653"/>
    <x v="9"/>
    <n v="11400"/>
    <x v="3"/>
    <d v="2026-02-08T00:00:00"/>
    <d v="2026-04-24T00:00:00"/>
    <n v="75"/>
  </r>
  <r>
    <n v="4654"/>
    <x v="14"/>
    <n v="11100"/>
    <x v="3"/>
    <d v="2026-02-20T00:00:00"/>
    <d v="2026-04-07T00:00:00"/>
    <n v="46"/>
  </r>
  <r>
    <n v="4655"/>
    <x v="11"/>
    <n v="2900"/>
    <x v="4"/>
    <d v="2026-02-21T00:00:00"/>
    <d v="2026-03-31T00:00:00"/>
    <n v="38"/>
  </r>
  <r>
    <n v="4656"/>
    <x v="4"/>
    <n v="2500"/>
    <x v="1"/>
    <d v="2026-02-24T00:00:00"/>
    <d v="2026-04-14T00:00:00"/>
    <n v="49"/>
  </r>
  <r>
    <n v="4658"/>
    <x v="13"/>
    <n v="5000"/>
    <x v="0"/>
    <d v="2026-02-26T00:00:00"/>
    <d v="2026-08-05T00:00:00"/>
    <n v="160"/>
  </r>
  <r>
    <n v="4659"/>
    <x v="6"/>
    <n v="5300"/>
    <x v="2"/>
    <d v="2026-02-27T00:00:00"/>
    <d v="2026-06-07T00:00:00"/>
    <n v="100"/>
  </r>
  <r>
    <n v="4660"/>
    <x v="3"/>
    <n v="5900"/>
    <x v="2"/>
    <d v="2026-03-04T00:00:00"/>
    <d v="2026-05-26T00:00:00"/>
    <n v="83"/>
  </r>
  <r>
    <n v="4662"/>
    <x v="2"/>
    <n v="6800"/>
    <x v="1"/>
    <d v="2026-03-09T00:00:00"/>
    <d v="2026-05-10T00:00:00"/>
    <n v="62"/>
  </r>
  <r>
    <n v="4664"/>
    <x v="4"/>
    <n v="5200"/>
    <x v="1"/>
    <d v="2026-03-12T00:00:00"/>
    <d v="2026-05-04T00:00:00"/>
    <n v="53"/>
  </r>
  <r>
    <n v="4666"/>
    <x v="12"/>
    <n v="9000"/>
    <x v="2"/>
    <d v="2026-03-20T00:00:00"/>
    <d v="2026-05-12T00:00:00"/>
    <n v="53"/>
  </r>
  <r>
    <n v="4667"/>
    <x v="14"/>
    <n v="6400"/>
    <x v="3"/>
    <d v="2026-03-24T00:00:00"/>
    <d v="2026-06-08T00:00:00"/>
    <n v="76"/>
  </r>
  <r>
    <n v="4668"/>
    <x v="8"/>
    <n v="9100"/>
    <x v="3"/>
    <d v="2026-03-26T00:00:00"/>
    <d v="2026-05-17T00:00:00"/>
    <n v="52"/>
  </r>
  <r>
    <n v="4669"/>
    <x v="9"/>
    <n v="11000"/>
    <x v="3"/>
    <d v="2026-03-29T00:00:00"/>
    <d v="2026-07-12T00:00:00"/>
    <n v="105"/>
  </r>
  <r>
    <n v="4670"/>
    <x v="8"/>
    <n v="9000"/>
    <x v="2"/>
    <d v="2026-04-04T00:00:00"/>
    <d v="2026-08-19T00:00:00"/>
    <n v="137"/>
  </r>
  <r>
    <n v="4671"/>
    <x v="13"/>
    <n v="3800"/>
    <x v="0"/>
    <d v="2026-04-06T00:00:00"/>
    <d v="2026-08-17T00:00:00"/>
    <n v="133"/>
  </r>
  <r>
    <n v="4672"/>
    <x v="13"/>
    <n v="2600"/>
    <x v="0"/>
    <d v="2026-04-08T00:00:00"/>
    <d v="2026-07-23T00:00:00"/>
    <n v="106"/>
  </r>
  <r>
    <n v="4673"/>
    <x v="16"/>
    <n v="5700"/>
    <x v="3"/>
    <d v="2026-04-11T00:00:00"/>
    <d v="2026-07-12T00:00:00"/>
    <n v="92"/>
  </r>
  <r>
    <n v="4674"/>
    <x v="12"/>
    <n v="6900"/>
    <x v="2"/>
    <d v="2026-04-15T00:00:00"/>
    <d v="2026-08-18T00:00:00"/>
    <n v="125"/>
  </r>
  <r>
    <n v="4675"/>
    <x v="9"/>
    <n v="7500"/>
    <x v="3"/>
    <d v="2026-04-17T00:00:00"/>
    <d v="2026-07-22T00:00:00"/>
    <n v="96"/>
  </r>
  <r>
    <n v="4676"/>
    <x v="16"/>
    <n v="8400"/>
    <x v="3"/>
    <d v="2026-04-24T00:00:00"/>
    <d v="2026-07-31T00:00:00"/>
    <n v="98"/>
  </r>
  <r>
    <n v="4677"/>
    <x v="9"/>
    <n v="5300"/>
    <x v="3"/>
    <d v="2026-04-25T00:00:00"/>
    <d v="2026-07-21T00:00:00"/>
    <n v="87"/>
  </r>
  <r>
    <n v="4678"/>
    <x v="10"/>
    <n v="7800"/>
    <x v="3"/>
    <d v="2026-04-27T00:00:00"/>
    <d v="2026-08-08T00:00:00"/>
    <n v="103"/>
  </r>
  <r>
    <n v="4680"/>
    <x v="16"/>
    <n v="10000"/>
    <x v="4"/>
    <d v="2026-04-28T00:00:00"/>
    <d v="2026-06-17T00:00:00"/>
    <n v="50"/>
  </r>
  <r>
    <n v="4681"/>
    <x v="2"/>
    <n v="3000"/>
    <x v="1"/>
    <d v="2026-04-29T00:00:00"/>
    <d v="2026-08-11T00:00:00"/>
    <n v="104"/>
  </r>
  <r>
    <n v="4682"/>
    <x v="16"/>
    <n v="6400"/>
    <x v="3"/>
    <d v="2026-04-30T00:00:00"/>
    <d v="2026-07-05T00:00:00"/>
    <n v="66"/>
  </r>
  <r>
    <n v="4683"/>
    <x v="6"/>
    <n v="4400"/>
    <x v="2"/>
    <d v="2026-05-05T00:00:00"/>
    <d v="2026-07-14T00:00:00"/>
    <n v="70"/>
  </r>
  <r>
    <n v="4684"/>
    <x v="6"/>
    <n v="8700"/>
    <x v="2"/>
    <d v="2026-05-12T00:00:00"/>
    <d v="2026-07-17T00:00:00"/>
    <n v="66"/>
  </r>
  <r>
    <n v="4685"/>
    <x v="9"/>
    <n v="9100"/>
    <x v="3"/>
    <d v="2026-05-13T00:00:00"/>
    <d v="2026-08-29T00:00:00"/>
    <n v="108"/>
  </r>
  <r>
    <n v="4686"/>
    <x v="3"/>
    <n v="5100"/>
    <x v="2"/>
    <d v="2026-05-15T00:00:00"/>
    <d v="2026-07-18T00:00:00"/>
    <n v="64"/>
  </r>
  <r>
    <n v="4687"/>
    <x v="14"/>
    <n v="9200"/>
    <x v="3"/>
    <d v="2026-05-23T00:00:00"/>
    <d v="2026-07-17T00:00:00"/>
    <n v="55"/>
  </r>
  <r>
    <n v="4688"/>
    <x v="2"/>
    <n v="3200"/>
    <x v="1"/>
    <d v="2026-05-24T00:00:00"/>
    <d v="2026-09-07T00:00:00"/>
    <n v="106"/>
  </r>
  <r>
    <n v="4689"/>
    <x v="14"/>
    <n v="10700"/>
    <x v="3"/>
    <d v="2026-05-25T00:00:00"/>
    <d v="2026-08-11T00:00:00"/>
    <n v="78"/>
  </r>
  <r>
    <n v="4690"/>
    <x v="7"/>
    <n v="4700"/>
    <x v="4"/>
    <d v="2026-05-27T00:00:00"/>
    <d v="2026-06-23T00:00:00"/>
    <n v="27"/>
  </r>
  <r>
    <n v="4692"/>
    <x v="9"/>
    <n v="8400"/>
    <x v="3"/>
    <d v="2026-05-29T00:00:00"/>
    <d v="2026-07-22T00:00:00"/>
    <n v="54"/>
  </r>
  <r>
    <n v="4693"/>
    <x v="12"/>
    <n v="8800"/>
    <x v="2"/>
    <d v="2026-06-05T00:00:00"/>
    <d v="2026-08-29T00:00:00"/>
    <n v="85"/>
  </r>
  <r>
    <n v="4695"/>
    <x v="4"/>
    <n v="3900"/>
    <x v="1"/>
    <d v="2026-06-09T00:00:00"/>
    <d v="2026-10-20T00:00:00"/>
    <n v="133"/>
  </r>
  <r>
    <n v="4696"/>
    <x v="2"/>
    <n v="8300"/>
    <x v="3"/>
    <d v="2026-06-13T00:00:00"/>
    <d v="2026-08-23T00:00:00"/>
    <n v="71"/>
  </r>
  <r>
    <n v="4697"/>
    <x v="9"/>
    <n v="11100"/>
    <x v="3"/>
    <d v="2026-06-14T00:00:00"/>
    <d v="2026-08-26T00:00:00"/>
    <n v="73"/>
  </r>
  <r>
    <n v="4698"/>
    <x v="15"/>
    <n v="7200"/>
    <x v="0"/>
    <d v="2026-06-15T00:00:00"/>
    <d v="2026-11-04T00:00:00"/>
    <n v="142"/>
  </r>
  <r>
    <n v="4700"/>
    <x v="6"/>
    <n v="4300"/>
    <x v="2"/>
    <d v="2026-06-16T00:00:00"/>
    <d v="2026-09-14T00:00:00"/>
    <n v="90"/>
  </r>
  <r>
    <n v="4701"/>
    <x v="0"/>
    <n v="7500"/>
    <x v="0"/>
    <d v="2026-06-17T00:00:00"/>
    <d v="2026-09-27T00:00:00"/>
    <n v="102"/>
  </r>
  <r>
    <n v="4702"/>
    <x v="13"/>
    <n v="5700"/>
    <x v="0"/>
    <d v="2026-06-18T00:00:00"/>
    <d v="2026-11-03T00:00:00"/>
    <n v="138"/>
  </r>
  <r>
    <n v="4703"/>
    <x v="16"/>
    <n v="11700"/>
    <x v="3"/>
    <d v="2026-06-22T00:00:00"/>
    <d v="2026-09-18T00:00:00"/>
    <n v="88"/>
  </r>
  <r>
    <n v="4705"/>
    <x v="6"/>
    <n v="6500"/>
    <x v="2"/>
    <d v="2026-06-23T00:00:00"/>
    <d v="2026-10-25T00:00:00"/>
    <n v="124"/>
  </r>
  <r>
    <n v="4706"/>
    <x v="4"/>
    <n v="3500"/>
    <x v="1"/>
    <d v="2026-06-24T00:00:00"/>
    <d v="2026-09-17T00:00:00"/>
    <n v="85"/>
  </r>
  <r>
    <n v="4708"/>
    <x v="8"/>
    <n v="10800"/>
    <x v="3"/>
    <d v="2026-06-26T00:00:00"/>
    <d v="2026-08-29T00:00:00"/>
    <n v="64"/>
  </r>
  <r>
    <n v="4709"/>
    <x v="5"/>
    <n v="5000"/>
    <x v="4"/>
    <d v="2026-06-29T00:00:00"/>
    <d v="2026-08-07T00:00:00"/>
    <n v="39"/>
  </r>
  <r>
    <n v="4710"/>
    <x v="3"/>
    <n v="4600"/>
    <x v="2"/>
    <d v="2026-06-30T00:00:00"/>
    <d v="2026-09-15T00:00:00"/>
    <n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74F45E-39F4-4056-A9AD-ADD989D52E93}"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A12:E30" firstHeaderRow="0" firstDataRow="1" firstDataCol="1"/>
  <pivotFields count="7">
    <pivotField compact="0" outline="0" showAll="0"/>
    <pivotField axis="axisRow" dataField="1" compact="0" outline="0" showAll="0" defaultSubtotal="0">
      <items count="17">
        <item sd="0" x="0"/>
        <item sd="0" x="13"/>
        <item sd="0" x="1"/>
        <item sd="0" x="15"/>
        <item sd="0" x="12"/>
        <item sd="0" x="6"/>
        <item sd="0" x="3"/>
        <item sd="0" x="5"/>
        <item sd="0" x="11"/>
        <item sd="0" x="7"/>
        <item sd="0" x="8"/>
        <item sd="0" x="14"/>
        <item sd="0" x="16"/>
        <item sd="0" x="9"/>
        <item sd="0" x="4"/>
        <item sd="0" x="10"/>
        <item sd="0" x="2"/>
      </items>
    </pivotField>
    <pivotField dataField="1" compact="0" numFmtId="3" outline="0" showAll="0"/>
    <pivotField compact="0" outline="0" showAll="0">
      <items count="6">
        <item x="0"/>
        <item x="2"/>
        <item x="4"/>
        <item x="3"/>
        <item x="1"/>
        <item t="default"/>
      </items>
    </pivotField>
    <pivotField compact="0" numFmtId="164" outline="0" showAll="0"/>
    <pivotField compact="0" numFmtId="164" outline="0" showAll="0"/>
    <pivotField dataField="1" compact="0" outline="0" showAll="0"/>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4">
    <i>
      <x/>
    </i>
    <i i="1">
      <x v="1"/>
    </i>
    <i i="2">
      <x v="2"/>
    </i>
    <i i="3">
      <x v="3"/>
    </i>
  </colItems>
  <dataFields count="4">
    <dataField name="PO's Placed" fld="1" subtotal="count" baseField="0" baseItem="0"/>
    <dataField name="Average of QTY" fld="2" subtotal="average" baseField="0" baseItem="0" numFmtId="3"/>
    <dataField name="Sum of QTY" fld="2" baseField="0" baseItem="0" numFmtId="3"/>
    <dataField name="Average Lead Time (Days)" fld="6" subtotal="average" baseField="0" baseItem="0"/>
  </dataFields>
  <formats count="12">
    <format dxfId="772">
      <pivotArea grandRow="1" outline="0" collapsedLevelsAreSubtotals="1" fieldPosition="0"/>
    </format>
    <format dxfId="771">
      <pivotArea dataOnly="0" labelOnly="1" outline="0" fieldPosition="0">
        <references count="1">
          <reference field="4294967294" count="1">
            <x v="3"/>
          </reference>
        </references>
      </pivotArea>
    </format>
    <format dxfId="770">
      <pivotArea field="3" type="button" dataOnly="0" labelOnly="1" outline="0"/>
    </format>
    <format dxfId="769">
      <pivotArea dataOnly="0" labelOnly="1" outline="0" fieldPosition="0">
        <references count="1">
          <reference field="4294967294" count="3">
            <x v="0"/>
            <x v="1"/>
            <x v="3"/>
          </reference>
        </references>
      </pivotArea>
    </format>
    <format dxfId="768">
      <pivotArea field="3" type="button" dataOnly="0" labelOnly="1" outline="0"/>
    </format>
    <format dxfId="767">
      <pivotArea dataOnly="0" labelOnly="1" outline="0" fieldPosition="0">
        <references count="1">
          <reference field="4294967294" count="3">
            <x v="0"/>
            <x v="1"/>
            <x v="3"/>
          </reference>
        </references>
      </pivotArea>
    </format>
    <format dxfId="766">
      <pivotArea dataOnly="0" labelOnly="1" outline="0" fieldPosition="0">
        <references count="1">
          <reference field="4294967294" count="2">
            <x v="0"/>
            <x v="1"/>
          </reference>
        </references>
      </pivotArea>
    </format>
    <format dxfId="765">
      <pivotArea outline="0" fieldPosition="0">
        <references count="2">
          <reference field="4294967294" count="1" selected="0">
            <x v="3"/>
          </reference>
          <reference field="1" count="0" selected="0"/>
        </references>
      </pivotArea>
    </format>
    <format dxfId="764">
      <pivotArea field="1" type="button" dataOnly="0" labelOnly="1" outline="0" axis="axisRow" fieldPosition="0"/>
    </format>
    <format dxfId="763">
      <pivotArea field="1" type="button" dataOnly="0" labelOnly="1" outline="0" axis="axisRow" fieldPosition="0"/>
    </format>
    <format dxfId="762">
      <pivotArea dataOnly="0" labelOnly="1" outline="0" fieldPosition="0">
        <references count="1">
          <reference field="4294967294" count="1">
            <x v="2"/>
          </reference>
        </references>
      </pivotArea>
    </format>
    <format dxfId="761">
      <pivotArea dataOnly="0" labelOnly="1" outline="0" fieldPosition="0">
        <references count="1">
          <reference field="4294967294" count="1">
            <x v="2"/>
          </reference>
        </references>
      </pivotArea>
    </format>
  </format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3"/>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3"/>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3"/>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3"/>
          </reference>
        </references>
      </pivotArea>
    </chartFormat>
    <chartFormat chart="11" format="3"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5" series="1">
      <pivotArea type="data" outline="0" fieldPosition="0">
        <references count="1">
          <reference field="4294967294" count="1" selected="0">
            <x v="3"/>
          </reference>
        </references>
      </pivotArea>
    </chartFormat>
    <chartFormat chart="12" format="21" series="1">
      <pivotArea type="data" outline="0" fieldPosition="0">
        <references count="1">
          <reference field="4294967294" count="1" selected="0">
            <x v="0"/>
          </reference>
        </references>
      </pivotArea>
    </chartFormat>
    <chartFormat chart="12" format="27" series="1">
      <pivotArea type="data" outline="0" fieldPosition="0">
        <references count="1">
          <reference field="4294967294" count="1" selected="0">
            <x v="1"/>
          </reference>
        </references>
      </pivotArea>
    </chartFormat>
    <chartFormat chart="12" format="33" series="1">
      <pivotArea type="data" outline="0" fieldPosition="0">
        <references count="1">
          <reference field="4294967294" count="1" selected="0">
            <x v="3"/>
          </reference>
        </references>
      </pivotArea>
    </chartFormat>
    <chartFormat chart="14" format="3"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5" series="1">
      <pivotArea type="data" outline="0" fieldPosition="0">
        <references count="1">
          <reference field="4294967294" count="1" selected="0">
            <x v="3"/>
          </reference>
        </references>
      </pivotArea>
    </chartFormat>
    <chartFormat chart="15" format="21" series="1">
      <pivotArea type="data" outline="0" fieldPosition="0">
        <references count="1">
          <reference field="4294967294" count="1" selected="0">
            <x v="0"/>
          </reference>
        </references>
      </pivotArea>
    </chartFormat>
    <chartFormat chart="15" format="27" series="1">
      <pivotArea type="data" outline="0" fieldPosition="0">
        <references count="1">
          <reference field="4294967294" count="1" selected="0">
            <x v="1"/>
          </reference>
        </references>
      </pivotArea>
    </chartFormat>
    <chartFormat chart="15" format="33" series="1">
      <pivotArea type="data" outline="0" fieldPosition="0">
        <references count="1">
          <reference field="4294967294" count="1" selected="0">
            <x v="3"/>
          </reference>
        </references>
      </pivotArea>
    </chartFormat>
    <chartFormat chart="18" format="3"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8" format="15" series="1">
      <pivotArea type="data" outline="0" fieldPosition="0">
        <references count="1">
          <reference field="4294967294" count="1" selected="0">
            <x v="3"/>
          </reference>
        </references>
      </pivotArea>
    </chartFormat>
    <chartFormat chart="19" format="21" series="1">
      <pivotArea type="data" outline="0" fieldPosition="0">
        <references count="1">
          <reference field="4294967294" count="1" selected="0">
            <x v="0"/>
          </reference>
        </references>
      </pivotArea>
    </chartFormat>
    <chartFormat chart="19" format="27" series="1">
      <pivotArea type="data" outline="0" fieldPosition="0">
        <references count="1">
          <reference field="4294967294" count="1" selected="0">
            <x v="1"/>
          </reference>
        </references>
      </pivotArea>
    </chartFormat>
    <chartFormat chart="19" format="33" series="1">
      <pivotArea type="data" outline="0" fieldPosition="0">
        <references count="1">
          <reference field="4294967294" count="1" selected="0">
            <x v="3"/>
          </reference>
        </references>
      </pivotArea>
    </chartFormat>
    <chartFormat chart="20" format="39" series="1">
      <pivotArea type="data" outline="0" fieldPosition="0">
        <references count="1">
          <reference field="4294967294" count="1" selected="0">
            <x v="0"/>
          </reference>
        </references>
      </pivotArea>
    </chartFormat>
    <chartFormat chart="20" format="45" series="1">
      <pivotArea type="data" outline="0" fieldPosition="0">
        <references count="1">
          <reference field="4294967294" count="1" selected="0">
            <x v="1"/>
          </reference>
        </references>
      </pivotArea>
    </chartFormat>
    <chartFormat chart="20" format="51" series="1">
      <pivotArea type="data" outline="0" fieldPosition="0">
        <references count="1">
          <reference field="4294967294" count="1" selected="0">
            <x v="3"/>
          </reference>
        </references>
      </pivotArea>
    </chartFormat>
    <chartFormat chart="22" format="75" series="1">
      <pivotArea type="data" outline="0" fieldPosition="0">
        <references count="1">
          <reference field="4294967294" count="1" selected="0">
            <x v="0"/>
          </reference>
        </references>
      </pivotArea>
    </chartFormat>
    <chartFormat chart="22" format="81" series="1">
      <pivotArea type="data" outline="0" fieldPosition="0">
        <references count="1">
          <reference field="4294967294" count="1" selected="0">
            <x v="1"/>
          </reference>
        </references>
      </pivotArea>
    </chartFormat>
    <chartFormat chart="22" format="87" series="1">
      <pivotArea type="data" outline="0" fieldPosition="0">
        <references count="1">
          <reference field="4294967294" count="1" selected="0">
            <x v="3"/>
          </reference>
        </references>
      </pivotArea>
    </chartFormat>
    <chartFormat chart="23" format="93" series="1">
      <pivotArea type="data" outline="0" fieldPosition="0">
        <references count="1">
          <reference field="4294967294" count="1" selected="0">
            <x v="0"/>
          </reference>
        </references>
      </pivotArea>
    </chartFormat>
    <chartFormat chart="23" format="99" series="1">
      <pivotArea type="data" outline="0" fieldPosition="0">
        <references count="1">
          <reference field="4294967294" count="1" selected="0">
            <x v="1"/>
          </reference>
        </references>
      </pivotArea>
    </chartFormat>
    <chartFormat chart="23" format="10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EE0CCF-A16E-4211-8E96-20B143B3E4ED}" name="Vendor PivotTabl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A2:D8" firstHeaderRow="0" firstDataRow="1" firstDataCol="1"/>
  <pivotFields count="7">
    <pivotField compact="0" outline="0" showAll="0"/>
    <pivotField dataField="1" compact="0" outline="0" showAll="0">
      <items count="18">
        <item x="0"/>
        <item x="7"/>
        <item x="8"/>
        <item x="14"/>
        <item x="16"/>
        <item x="9"/>
        <item x="4"/>
        <item x="10"/>
        <item x="2"/>
        <item x="13"/>
        <item x="1"/>
        <item x="15"/>
        <item x="12"/>
        <item x="6"/>
        <item x="3"/>
        <item x="5"/>
        <item x="11"/>
        <item t="default"/>
      </items>
    </pivotField>
    <pivotField dataField="1" compact="0" numFmtId="3" outline="0" showAll="0"/>
    <pivotField axis="axisRow" compact="0" outline="0" showAll="0">
      <items count="6">
        <item x="0"/>
        <item x="2"/>
        <item x="4"/>
        <item x="3"/>
        <item x="1"/>
        <item t="default"/>
      </items>
    </pivotField>
    <pivotField compact="0" numFmtId="164" outline="0" showAll="0"/>
    <pivotField compact="0" numFmtId="164" outline="0" showAll="0"/>
    <pivotField dataField="1" compact="0" outline="0" showAll="0"/>
  </pivotFields>
  <rowFields count="1">
    <field x="3"/>
  </rowFields>
  <rowItems count="6">
    <i>
      <x/>
    </i>
    <i>
      <x v="1"/>
    </i>
    <i>
      <x v="2"/>
    </i>
    <i>
      <x v="3"/>
    </i>
    <i>
      <x v="4"/>
    </i>
    <i t="grand">
      <x/>
    </i>
  </rowItems>
  <colFields count="1">
    <field x="-2"/>
  </colFields>
  <colItems count="3">
    <i>
      <x/>
    </i>
    <i i="1">
      <x v="1"/>
    </i>
    <i i="2">
      <x v="2"/>
    </i>
  </colItems>
  <dataFields count="3">
    <dataField name="PO's Placed" fld="1" subtotal="count" baseField="0" baseItem="0"/>
    <dataField name="QTY Average" fld="2" subtotal="average" baseField="0" baseItem="0" numFmtId="3"/>
    <dataField name="Average of Lead Time (Days)" fld="6" subtotal="average" baseField="0" baseItem="0"/>
  </dataFields>
  <formats count="8">
    <format dxfId="780">
      <pivotArea outline="0" fieldPosition="0">
        <references count="1">
          <reference field="3" count="0" selected="0"/>
        </references>
      </pivotArea>
    </format>
    <format dxfId="779">
      <pivotArea grandRow="1" outline="0" collapsedLevelsAreSubtotals="1" fieldPosition="0"/>
    </format>
    <format dxfId="778">
      <pivotArea dataOnly="0" labelOnly="1" outline="0" fieldPosition="0">
        <references count="1">
          <reference field="4294967294" count="1">
            <x v="2"/>
          </reference>
        </references>
      </pivotArea>
    </format>
    <format dxfId="777">
      <pivotArea field="3" type="button" dataOnly="0" labelOnly="1" outline="0" axis="axisRow" fieldPosition="0"/>
    </format>
    <format dxfId="776">
      <pivotArea dataOnly="0" labelOnly="1" outline="0" fieldPosition="0">
        <references count="1">
          <reference field="4294967294" count="3">
            <x v="0"/>
            <x v="1"/>
            <x v="2"/>
          </reference>
        </references>
      </pivotArea>
    </format>
    <format dxfId="775">
      <pivotArea field="3" type="button" dataOnly="0" labelOnly="1" outline="0" axis="axisRow" fieldPosition="0"/>
    </format>
    <format dxfId="774">
      <pivotArea dataOnly="0" labelOnly="1" outline="0" fieldPosition="0">
        <references count="1">
          <reference field="4294967294" count="3">
            <x v="0"/>
            <x v="1"/>
            <x v="2"/>
          </reference>
        </references>
      </pivotArea>
    </format>
    <format dxfId="773">
      <pivotArea dataOnly="0" labelOnly="1" outline="0" fieldPosition="0">
        <references count="1">
          <reference field="4294967294" count="2">
            <x v="0"/>
            <x v="1"/>
          </reference>
        </references>
      </pivotArea>
    </format>
  </formats>
  <chartFormats count="19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3" count="1" selected="0">
            <x v="0"/>
          </reference>
        </references>
      </pivotArea>
    </chartFormat>
    <chartFormat chart="11" format="5">
      <pivotArea type="data" outline="0" fieldPosition="0">
        <references count="2">
          <reference field="4294967294" count="1" selected="0">
            <x v="0"/>
          </reference>
          <reference field="3" count="1" selected="0">
            <x v="1"/>
          </reference>
        </references>
      </pivotArea>
    </chartFormat>
    <chartFormat chart="11" format="6">
      <pivotArea type="data" outline="0" fieldPosition="0">
        <references count="2">
          <reference field="4294967294" count="1" selected="0">
            <x v="0"/>
          </reference>
          <reference field="3" count="1" selected="0">
            <x v="2"/>
          </reference>
        </references>
      </pivotArea>
    </chartFormat>
    <chartFormat chart="11" format="7">
      <pivotArea type="data" outline="0" fieldPosition="0">
        <references count="2">
          <reference field="4294967294" count="1" selected="0">
            <x v="0"/>
          </reference>
          <reference field="3" count="1" selected="0">
            <x v="3"/>
          </reference>
        </references>
      </pivotArea>
    </chartFormat>
    <chartFormat chart="11" format="8">
      <pivotArea type="data" outline="0" fieldPosition="0">
        <references count="2">
          <reference field="4294967294" count="1" selected="0">
            <x v="0"/>
          </reference>
          <reference field="3" count="1" selected="0">
            <x v="4"/>
          </reference>
        </references>
      </pivotArea>
    </chartFormat>
    <chartFormat chart="11" format="9" series="1">
      <pivotArea type="data" outline="0" fieldPosition="0">
        <references count="1">
          <reference field="4294967294" count="1" selected="0">
            <x v="1"/>
          </reference>
        </references>
      </pivotArea>
    </chartFormat>
    <chartFormat chart="11" format="10">
      <pivotArea type="data" outline="0" fieldPosition="0">
        <references count="2">
          <reference field="4294967294" count="1" selected="0">
            <x v="1"/>
          </reference>
          <reference field="3" count="1" selected="0">
            <x v="0"/>
          </reference>
        </references>
      </pivotArea>
    </chartFormat>
    <chartFormat chart="11" format="11">
      <pivotArea type="data" outline="0" fieldPosition="0">
        <references count="2">
          <reference field="4294967294" count="1" selected="0">
            <x v="1"/>
          </reference>
          <reference field="3" count="1" selected="0">
            <x v="1"/>
          </reference>
        </references>
      </pivotArea>
    </chartFormat>
    <chartFormat chart="11" format="12">
      <pivotArea type="data" outline="0" fieldPosition="0">
        <references count="2">
          <reference field="4294967294" count="1" selected="0">
            <x v="1"/>
          </reference>
          <reference field="3" count="1" selected="0">
            <x v="2"/>
          </reference>
        </references>
      </pivotArea>
    </chartFormat>
    <chartFormat chart="11" format="13">
      <pivotArea type="data" outline="0" fieldPosition="0">
        <references count="2">
          <reference field="4294967294" count="1" selected="0">
            <x v="1"/>
          </reference>
          <reference field="3" count="1" selected="0">
            <x v="3"/>
          </reference>
        </references>
      </pivotArea>
    </chartFormat>
    <chartFormat chart="11" format="14">
      <pivotArea type="data" outline="0" fieldPosition="0">
        <references count="2">
          <reference field="4294967294" count="1" selected="0">
            <x v="1"/>
          </reference>
          <reference field="3" count="1" selected="0">
            <x v="4"/>
          </reference>
        </references>
      </pivotArea>
    </chartFormat>
    <chartFormat chart="11" format="15" series="1">
      <pivotArea type="data" outline="0" fieldPosition="0">
        <references count="1">
          <reference field="4294967294" count="1" selected="0">
            <x v="2"/>
          </reference>
        </references>
      </pivotArea>
    </chartFormat>
    <chartFormat chart="11" format="16">
      <pivotArea type="data" outline="0" fieldPosition="0">
        <references count="2">
          <reference field="4294967294" count="1" selected="0">
            <x v="2"/>
          </reference>
          <reference field="3" count="1" selected="0">
            <x v="0"/>
          </reference>
        </references>
      </pivotArea>
    </chartFormat>
    <chartFormat chart="11" format="17">
      <pivotArea type="data" outline="0" fieldPosition="0">
        <references count="2">
          <reference field="4294967294" count="1" selected="0">
            <x v="2"/>
          </reference>
          <reference field="3" count="1" selected="0">
            <x v="1"/>
          </reference>
        </references>
      </pivotArea>
    </chartFormat>
    <chartFormat chart="11" format="18">
      <pivotArea type="data" outline="0" fieldPosition="0">
        <references count="2">
          <reference field="4294967294" count="1" selected="0">
            <x v="2"/>
          </reference>
          <reference field="3" count="1" selected="0">
            <x v="2"/>
          </reference>
        </references>
      </pivotArea>
    </chartFormat>
    <chartFormat chart="11" format="19">
      <pivotArea type="data" outline="0" fieldPosition="0">
        <references count="2">
          <reference field="4294967294" count="1" selected="0">
            <x v="2"/>
          </reference>
          <reference field="3" count="1" selected="0">
            <x v="3"/>
          </reference>
        </references>
      </pivotArea>
    </chartFormat>
    <chartFormat chart="11" format="20">
      <pivotArea type="data" outline="0" fieldPosition="0">
        <references count="2">
          <reference field="4294967294" count="1" selected="0">
            <x v="2"/>
          </reference>
          <reference field="3" count="1" selected="0">
            <x v="4"/>
          </reference>
        </references>
      </pivotArea>
    </chartFormat>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3" count="1" selected="0">
            <x v="0"/>
          </reference>
        </references>
      </pivotArea>
    </chartFormat>
    <chartFormat chart="12" format="23">
      <pivotArea type="data" outline="0" fieldPosition="0">
        <references count="2">
          <reference field="4294967294" count="1" selected="0">
            <x v="0"/>
          </reference>
          <reference field="3" count="1" selected="0">
            <x v="1"/>
          </reference>
        </references>
      </pivotArea>
    </chartFormat>
    <chartFormat chart="12" format="24">
      <pivotArea type="data" outline="0" fieldPosition="0">
        <references count="2">
          <reference field="4294967294" count="1" selected="0">
            <x v="0"/>
          </reference>
          <reference field="3" count="1" selected="0">
            <x v="2"/>
          </reference>
        </references>
      </pivotArea>
    </chartFormat>
    <chartFormat chart="12" format="25">
      <pivotArea type="data" outline="0" fieldPosition="0">
        <references count="2">
          <reference field="4294967294" count="1" selected="0">
            <x v="0"/>
          </reference>
          <reference field="3" count="1" selected="0">
            <x v="3"/>
          </reference>
        </references>
      </pivotArea>
    </chartFormat>
    <chartFormat chart="12" format="26">
      <pivotArea type="data" outline="0" fieldPosition="0">
        <references count="2">
          <reference field="4294967294" count="1" selected="0">
            <x v="0"/>
          </reference>
          <reference field="3" count="1" selected="0">
            <x v="4"/>
          </reference>
        </references>
      </pivotArea>
    </chartFormat>
    <chartFormat chart="12" format="27" series="1">
      <pivotArea type="data" outline="0" fieldPosition="0">
        <references count="1">
          <reference field="4294967294" count="1" selected="0">
            <x v="1"/>
          </reference>
        </references>
      </pivotArea>
    </chartFormat>
    <chartFormat chart="12" format="28">
      <pivotArea type="data" outline="0" fieldPosition="0">
        <references count="2">
          <reference field="4294967294" count="1" selected="0">
            <x v="1"/>
          </reference>
          <reference field="3" count="1" selected="0">
            <x v="0"/>
          </reference>
        </references>
      </pivotArea>
    </chartFormat>
    <chartFormat chart="12" format="29">
      <pivotArea type="data" outline="0" fieldPosition="0">
        <references count="2">
          <reference field="4294967294" count="1" selected="0">
            <x v="1"/>
          </reference>
          <reference field="3" count="1" selected="0">
            <x v="1"/>
          </reference>
        </references>
      </pivotArea>
    </chartFormat>
    <chartFormat chart="12" format="30">
      <pivotArea type="data" outline="0" fieldPosition="0">
        <references count="2">
          <reference field="4294967294" count="1" selected="0">
            <x v="1"/>
          </reference>
          <reference field="3" count="1" selected="0">
            <x v="2"/>
          </reference>
        </references>
      </pivotArea>
    </chartFormat>
    <chartFormat chart="12" format="31">
      <pivotArea type="data" outline="0" fieldPosition="0">
        <references count="2">
          <reference field="4294967294" count="1" selected="0">
            <x v="1"/>
          </reference>
          <reference field="3" count="1" selected="0">
            <x v="3"/>
          </reference>
        </references>
      </pivotArea>
    </chartFormat>
    <chartFormat chart="12" format="32">
      <pivotArea type="data" outline="0" fieldPosition="0">
        <references count="2">
          <reference field="4294967294" count="1" selected="0">
            <x v="1"/>
          </reference>
          <reference field="3" count="1" selected="0">
            <x v="4"/>
          </reference>
        </references>
      </pivotArea>
    </chartFormat>
    <chartFormat chart="12" format="33" series="1">
      <pivotArea type="data" outline="0" fieldPosition="0">
        <references count="1">
          <reference field="4294967294" count="1" selected="0">
            <x v="2"/>
          </reference>
        </references>
      </pivotArea>
    </chartFormat>
    <chartFormat chart="12" format="34">
      <pivotArea type="data" outline="0" fieldPosition="0">
        <references count="2">
          <reference field="4294967294" count="1" selected="0">
            <x v="2"/>
          </reference>
          <reference field="3" count="1" selected="0">
            <x v="0"/>
          </reference>
        </references>
      </pivotArea>
    </chartFormat>
    <chartFormat chart="12" format="35">
      <pivotArea type="data" outline="0" fieldPosition="0">
        <references count="2">
          <reference field="4294967294" count="1" selected="0">
            <x v="2"/>
          </reference>
          <reference field="3" count="1" selected="0">
            <x v="1"/>
          </reference>
        </references>
      </pivotArea>
    </chartFormat>
    <chartFormat chart="12" format="36">
      <pivotArea type="data" outline="0" fieldPosition="0">
        <references count="2">
          <reference field="4294967294" count="1" selected="0">
            <x v="2"/>
          </reference>
          <reference field="3" count="1" selected="0">
            <x v="2"/>
          </reference>
        </references>
      </pivotArea>
    </chartFormat>
    <chartFormat chart="12" format="37">
      <pivotArea type="data" outline="0" fieldPosition="0">
        <references count="2">
          <reference field="4294967294" count="1" selected="0">
            <x v="2"/>
          </reference>
          <reference field="3" count="1" selected="0">
            <x v="3"/>
          </reference>
        </references>
      </pivotArea>
    </chartFormat>
    <chartFormat chart="12" format="38">
      <pivotArea type="data" outline="0" fieldPosition="0">
        <references count="2">
          <reference field="4294967294" count="1" selected="0">
            <x v="2"/>
          </reference>
          <reference field="3" count="1" selected="0">
            <x v="4"/>
          </reference>
        </references>
      </pivotArea>
    </chartFormat>
    <chartFormat chart="14" format="3" series="1">
      <pivotArea type="data" outline="0" fieldPosition="0">
        <references count="1">
          <reference field="4294967294" count="1" selected="0">
            <x v="0"/>
          </reference>
        </references>
      </pivotArea>
    </chartFormat>
    <chartFormat chart="14" format="4">
      <pivotArea type="data" outline="0" fieldPosition="0">
        <references count="2">
          <reference field="4294967294" count="1" selected="0">
            <x v="0"/>
          </reference>
          <reference field="3" count="1" selected="0">
            <x v="0"/>
          </reference>
        </references>
      </pivotArea>
    </chartFormat>
    <chartFormat chart="14" format="5">
      <pivotArea type="data" outline="0" fieldPosition="0">
        <references count="2">
          <reference field="4294967294" count="1" selected="0">
            <x v="0"/>
          </reference>
          <reference field="3" count="1" selected="0">
            <x v="1"/>
          </reference>
        </references>
      </pivotArea>
    </chartFormat>
    <chartFormat chart="14" format="6">
      <pivotArea type="data" outline="0" fieldPosition="0">
        <references count="2">
          <reference field="4294967294" count="1" selected="0">
            <x v="0"/>
          </reference>
          <reference field="3" count="1" selected="0">
            <x v="2"/>
          </reference>
        </references>
      </pivotArea>
    </chartFormat>
    <chartFormat chart="14" format="7">
      <pivotArea type="data" outline="0" fieldPosition="0">
        <references count="2">
          <reference field="4294967294" count="1" selected="0">
            <x v="0"/>
          </reference>
          <reference field="3" count="1" selected="0">
            <x v="3"/>
          </reference>
        </references>
      </pivotArea>
    </chartFormat>
    <chartFormat chart="14" format="8">
      <pivotArea type="data" outline="0" fieldPosition="0">
        <references count="2">
          <reference field="4294967294" count="1" selected="0">
            <x v="0"/>
          </reference>
          <reference field="3" count="1" selected="0">
            <x v="4"/>
          </reference>
        </references>
      </pivotArea>
    </chartFormat>
    <chartFormat chart="14" format="9" series="1">
      <pivotArea type="data" outline="0" fieldPosition="0">
        <references count="1">
          <reference field="4294967294" count="1" selected="0">
            <x v="1"/>
          </reference>
        </references>
      </pivotArea>
    </chartFormat>
    <chartFormat chart="14" format="10">
      <pivotArea type="data" outline="0" fieldPosition="0">
        <references count="2">
          <reference field="4294967294" count="1" selected="0">
            <x v="1"/>
          </reference>
          <reference field="3" count="1" selected="0">
            <x v="0"/>
          </reference>
        </references>
      </pivotArea>
    </chartFormat>
    <chartFormat chart="14" format="11">
      <pivotArea type="data" outline="0" fieldPosition="0">
        <references count="2">
          <reference field="4294967294" count="1" selected="0">
            <x v="1"/>
          </reference>
          <reference field="3" count="1" selected="0">
            <x v="1"/>
          </reference>
        </references>
      </pivotArea>
    </chartFormat>
    <chartFormat chart="14" format="12">
      <pivotArea type="data" outline="0" fieldPosition="0">
        <references count="2">
          <reference field="4294967294" count="1" selected="0">
            <x v="1"/>
          </reference>
          <reference field="3" count="1" selected="0">
            <x v="2"/>
          </reference>
        </references>
      </pivotArea>
    </chartFormat>
    <chartFormat chart="14" format="13">
      <pivotArea type="data" outline="0" fieldPosition="0">
        <references count="2">
          <reference field="4294967294" count="1" selected="0">
            <x v="1"/>
          </reference>
          <reference field="3" count="1" selected="0">
            <x v="3"/>
          </reference>
        </references>
      </pivotArea>
    </chartFormat>
    <chartFormat chart="14" format="14">
      <pivotArea type="data" outline="0" fieldPosition="0">
        <references count="2">
          <reference field="4294967294" count="1" selected="0">
            <x v="1"/>
          </reference>
          <reference field="3" count="1" selected="0">
            <x v="4"/>
          </reference>
        </references>
      </pivotArea>
    </chartFormat>
    <chartFormat chart="14" format="15" series="1">
      <pivotArea type="data" outline="0" fieldPosition="0">
        <references count="1">
          <reference field="4294967294" count="1" selected="0">
            <x v="2"/>
          </reference>
        </references>
      </pivotArea>
    </chartFormat>
    <chartFormat chart="14" format="16">
      <pivotArea type="data" outline="0" fieldPosition="0">
        <references count="2">
          <reference field="4294967294" count="1" selected="0">
            <x v="2"/>
          </reference>
          <reference field="3" count="1" selected="0">
            <x v="0"/>
          </reference>
        </references>
      </pivotArea>
    </chartFormat>
    <chartFormat chart="14" format="17">
      <pivotArea type="data" outline="0" fieldPosition="0">
        <references count="2">
          <reference field="4294967294" count="1" selected="0">
            <x v="2"/>
          </reference>
          <reference field="3" count="1" selected="0">
            <x v="1"/>
          </reference>
        </references>
      </pivotArea>
    </chartFormat>
    <chartFormat chart="14" format="18">
      <pivotArea type="data" outline="0" fieldPosition="0">
        <references count="2">
          <reference field="4294967294" count="1" selected="0">
            <x v="2"/>
          </reference>
          <reference field="3" count="1" selected="0">
            <x v="2"/>
          </reference>
        </references>
      </pivotArea>
    </chartFormat>
    <chartFormat chart="14" format="19">
      <pivotArea type="data" outline="0" fieldPosition="0">
        <references count="2">
          <reference field="4294967294" count="1" selected="0">
            <x v="2"/>
          </reference>
          <reference field="3" count="1" selected="0">
            <x v="3"/>
          </reference>
        </references>
      </pivotArea>
    </chartFormat>
    <chartFormat chart="14" format="20">
      <pivotArea type="data" outline="0" fieldPosition="0">
        <references count="2">
          <reference field="4294967294" count="1" selected="0">
            <x v="2"/>
          </reference>
          <reference field="3" count="1" selected="0">
            <x v="4"/>
          </reference>
        </references>
      </pivotArea>
    </chartFormat>
    <chartFormat chart="15" format="21" series="1">
      <pivotArea type="data" outline="0" fieldPosition="0">
        <references count="1">
          <reference field="4294967294" count="1" selected="0">
            <x v="0"/>
          </reference>
        </references>
      </pivotArea>
    </chartFormat>
    <chartFormat chart="15" format="22">
      <pivotArea type="data" outline="0" fieldPosition="0">
        <references count="2">
          <reference field="4294967294" count="1" selected="0">
            <x v="0"/>
          </reference>
          <reference field="3" count="1" selected="0">
            <x v="0"/>
          </reference>
        </references>
      </pivotArea>
    </chartFormat>
    <chartFormat chart="15" format="23">
      <pivotArea type="data" outline="0" fieldPosition="0">
        <references count="2">
          <reference field="4294967294" count="1" selected="0">
            <x v="0"/>
          </reference>
          <reference field="3" count="1" selected="0">
            <x v="1"/>
          </reference>
        </references>
      </pivotArea>
    </chartFormat>
    <chartFormat chart="15" format="24">
      <pivotArea type="data" outline="0" fieldPosition="0">
        <references count="2">
          <reference field="4294967294" count="1" selected="0">
            <x v="0"/>
          </reference>
          <reference field="3" count="1" selected="0">
            <x v="2"/>
          </reference>
        </references>
      </pivotArea>
    </chartFormat>
    <chartFormat chart="15" format="25">
      <pivotArea type="data" outline="0" fieldPosition="0">
        <references count="2">
          <reference field="4294967294" count="1" selected="0">
            <x v="0"/>
          </reference>
          <reference field="3" count="1" selected="0">
            <x v="3"/>
          </reference>
        </references>
      </pivotArea>
    </chartFormat>
    <chartFormat chart="15" format="26">
      <pivotArea type="data" outline="0" fieldPosition="0">
        <references count="2">
          <reference field="4294967294" count="1" selected="0">
            <x v="0"/>
          </reference>
          <reference field="3" count="1" selected="0">
            <x v="4"/>
          </reference>
        </references>
      </pivotArea>
    </chartFormat>
    <chartFormat chart="15" format="27" series="1">
      <pivotArea type="data" outline="0" fieldPosition="0">
        <references count="1">
          <reference field="4294967294" count="1" selected="0">
            <x v="1"/>
          </reference>
        </references>
      </pivotArea>
    </chartFormat>
    <chartFormat chart="15" format="28">
      <pivotArea type="data" outline="0" fieldPosition="0">
        <references count="2">
          <reference field="4294967294" count="1" selected="0">
            <x v="1"/>
          </reference>
          <reference field="3" count="1" selected="0">
            <x v="0"/>
          </reference>
        </references>
      </pivotArea>
    </chartFormat>
    <chartFormat chart="15" format="29">
      <pivotArea type="data" outline="0" fieldPosition="0">
        <references count="2">
          <reference field="4294967294" count="1" selected="0">
            <x v="1"/>
          </reference>
          <reference field="3" count="1" selected="0">
            <x v="1"/>
          </reference>
        </references>
      </pivotArea>
    </chartFormat>
    <chartFormat chart="15" format="30">
      <pivotArea type="data" outline="0" fieldPosition="0">
        <references count="2">
          <reference field="4294967294" count="1" selected="0">
            <x v="1"/>
          </reference>
          <reference field="3" count="1" selected="0">
            <x v="2"/>
          </reference>
        </references>
      </pivotArea>
    </chartFormat>
    <chartFormat chart="15" format="31">
      <pivotArea type="data" outline="0" fieldPosition="0">
        <references count="2">
          <reference field="4294967294" count="1" selected="0">
            <x v="1"/>
          </reference>
          <reference field="3" count="1" selected="0">
            <x v="3"/>
          </reference>
        </references>
      </pivotArea>
    </chartFormat>
    <chartFormat chart="15" format="32">
      <pivotArea type="data" outline="0" fieldPosition="0">
        <references count="2">
          <reference field="4294967294" count="1" selected="0">
            <x v="1"/>
          </reference>
          <reference field="3" count="1" selected="0">
            <x v="4"/>
          </reference>
        </references>
      </pivotArea>
    </chartFormat>
    <chartFormat chart="15" format="33" series="1">
      <pivotArea type="data" outline="0" fieldPosition="0">
        <references count="1">
          <reference field="4294967294" count="1" selected="0">
            <x v="2"/>
          </reference>
        </references>
      </pivotArea>
    </chartFormat>
    <chartFormat chart="15" format="34">
      <pivotArea type="data" outline="0" fieldPosition="0">
        <references count="2">
          <reference field="4294967294" count="1" selected="0">
            <x v="2"/>
          </reference>
          <reference field="3" count="1" selected="0">
            <x v="0"/>
          </reference>
        </references>
      </pivotArea>
    </chartFormat>
    <chartFormat chart="15" format="35">
      <pivotArea type="data" outline="0" fieldPosition="0">
        <references count="2">
          <reference field="4294967294" count="1" selected="0">
            <x v="2"/>
          </reference>
          <reference field="3" count="1" selected="0">
            <x v="1"/>
          </reference>
        </references>
      </pivotArea>
    </chartFormat>
    <chartFormat chart="15" format="36">
      <pivotArea type="data" outline="0" fieldPosition="0">
        <references count="2">
          <reference field="4294967294" count="1" selected="0">
            <x v="2"/>
          </reference>
          <reference field="3" count="1" selected="0">
            <x v="2"/>
          </reference>
        </references>
      </pivotArea>
    </chartFormat>
    <chartFormat chart="15" format="37">
      <pivotArea type="data" outline="0" fieldPosition="0">
        <references count="2">
          <reference field="4294967294" count="1" selected="0">
            <x v="2"/>
          </reference>
          <reference field="3" count="1" selected="0">
            <x v="3"/>
          </reference>
        </references>
      </pivotArea>
    </chartFormat>
    <chartFormat chart="15" format="38">
      <pivotArea type="data" outline="0" fieldPosition="0">
        <references count="2">
          <reference field="4294967294" count="1" selected="0">
            <x v="2"/>
          </reference>
          <reference field="3" count="1" selected="0">
            <x v="4"/>
          </reference>
        </references>
      </pivotArea>
    </chartFormat>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3" count="1" selected="0">
            <x v="0"/>
          </reference>
        </references>
      </pivotArea>
    </chartFormat>
    <chartFormat chart="18" format="5">
      <pivotArea type="data" outline="0" fieldPosition="0">
        <references count="2">
          <reference field="4294967294" count="1" selected="0">
            <x v="0"/>
          </reference>
          <reference field="3" count="1" selected="0">
            <x v="1"/>
          </reference>
        </references>
      </pivotArea>
    </chartFormat>
    <chartFormat chart="18" format="6">
      <pivotArea type="data" outline="0" fieldPosition="0">
        <references count="2">
          <reference field="4294967294" count="1" selected="0">
            <x v="0"/>
          </reference>
          <reference field="3" count="1" selected="0">
            <x v="2"/>
          </reference>
        </references>
      </pivotArea>
    </chartFormat>
    <chartFormat chart="18" format="7">
      <pivotArea type="data" outline="0" fieldPosition="0">
        <references count="2">
          <reference field="4294967294" count="1" selected="0">
            <x v="0"/>
          </reference>
          <reference field="3" count="1" selected="0">
            <x v="3"/>
          </reference>
        </references>
      </pivotArea>
    </chartFormat>
    <chartFormat chart="18" format="8">
      <pivotArea type="data" outline="0" fieldPosition="0">
        <references count="2">
          <reference field="4294967294" count="1" selected="0">
            <x v="0"/>
          </reference>
          <reference field="3" count="1" selected="0">
            <x v="4"/>
          </reference>
        </references>
      </pivotArea>
    </chartFormat>
    <chartFormat chart="18" format="9" series="1">
      <pivotArea type="data" outline="0" fieldPosition="0">
        <references count="1">
          <reference field="4294967294" count="1" selected="0">
            <x v="1"/>
          </reference>
        </references>
      </pivotArea>
    </chartFormat>
    <chartFormat chart="18" format="10">
      <pivotArea type="data" outline="0" fieldPosition="0">
        <references count="2">
          <reference field="4294967294" count="1" selected="0">
            <x v="1"/>
          </reference>
          <reference field="3" count="1" selected="0">
            <x v="0"/>
          </reference>
        </references>
      </pivotArea>
    </chartFormat>
    <chartFormat chart="18" format="11">
      <pivotArea type="data" outline="0" fieldPosition="0">
        <references count="2">
          <reference field="4294967294" count="1" selected="0">
            <x v="1"/>
          </reference>
          <reference field="3" count="1" selected="0">
            <x v="1"/>
          </reference>
        </references>
      </pivotArea>
    </chartFormat>
    <chartFormat chart="18" format="12">
      <pivotArea type="data" outline="0" fieldPosition="0">
        <references count="2">
          <reference field="4294967294" count="1" selected="0">
            <x v="1"/>
          </reference>
          <reference field="3" count="1" selected="0">
            <x v="2"/>
          </reference>
        </references>
      </pivotArea>
    </chartFormat>
    <chartFormat chart="18" format="13">
      <pivotArea type="data" outline="0" fieldPosition="0">
        <references count="2">
          <reference field="4294967294" count="1" selected="0">
            <x v="1"/>
          </reference>
          <reference field="3" count="1" selected="0">
            <x v="3"/>
          </reference>
        </references>
      </pivotArea>
    </chartFormat>
    <chartFormat chart="18" format="14">
      <pivotArea type="data" outline="0" fieldPosition="0">
        <references count="2">
          <reference field="4294967294" count="1" selected="0">
            <x v="1"/>
          </reference>
          <reference field="3" count="1" selected="0">
            <x v="4"/>
          </reference>
        </references>
      </pivotArea>
    </chartFormat>
    <chartFormat chart="18" format="15" series="1">
      <pivotArea type="data" outline="0" fieldPosition="0">
        <references count="1">
          <reference field="4294967294" count="1" selected="0">
            <x v="2"/>
          </reference>
        </references>
      </pivotArea>
    </chartFormat>
    <chartFormat chart="18" format="16">
      <pivotArea type="data" outline="0" fieldPosition="0">
        <references count="2">
          <reference field="4294967294" count="1" selected="0">
            <x v="2"/>
          </reference>
          <reference field="3" count="1" selected="0">
            <x v="0"/>
          </reference>
        </references>
      </pivotArea>
    </chartFormat>
    <chartFormat chart="18" format="17">
      <pivotArea type="data" outline="0" fieldPosition="0">
        <references count="2">
          <reference field="4294967294" count="1" selected="0">
            <x v="2"/>
          </reference>
          <reference field="3" count="1" selected="0">
            <x v="1"/>
          </reference>
        </references>
      </pivotArea>
    </chartFormat>
    <chartFormat chart="18" format="18">
      <pivotArea type="data" outline="0" fieldPosition="0">
        <references count="2">
          <reference field="4294967294" count="1" selected="0">
            <x v="2"/>
          </reference>
          <reference field="3" count="1" selected="0">
            <x v="2"/>
          </reference>
        </references>
      </pivotArea>
    </chartFormat>
    <chartFormat chart="18" format="19">
      <pivotArea type="data" outline="0" fieldPosition="0">
        <references count="2">
          <reference field="4294967294" count="1" selected="0">
            <x v="2"/>
          </reference>
          <reference field="3" count="1" selected="0">
            <x v="3"/>
          </reference>
        </references>
      </pivotArea>
    </chartFormat>
    <chartFormat chart="18" format="20">
      <pivotArea type="data" outline="0" fieldPosition="0">
        <references count="2">
          <reference field="4294967294" count="1" selected="0">
            <x v="2"/>
          </reference>
          <reference field="3" count="1" selected="0">
            <x v="4"/>
          </reference>
        </references>
      </pivotArea>
    </chartFormat>
    <chartFormat chart="19" format="21" series="1">
      <pivotArea type="data" outline="0" fieldPosition="0">
        <references count="1">
          <reference field="4294967294" count="1" selected="0">
            <x v="0"/>
          </reference>
        </references>
      </pivotArea>
    </chartFormat>
    <chartFormat chart="19" format="22">
      <pivotArea type="data" outline="0" fieldPosition="0">
        <references count="2">
          <reference field="4294967294" count="1" selected="0">
            <x v="0"/>
          </reference>
          <reference field="3" count="1" selected="0">
            <x v="0"/>
          </reference>
        </references>
      </pivotArea>
    </chartFormat>
    <chartFormat chart="19" format="23">
      <pivotArea type="data" outline="0" fieldPosition="0">
        <references count="2">
          <reference field="4294967294" count="1" selected="0">
            <x v="0"/>
          </reference>
          <reference field="3" count="1" selected="0">
            <x v="1"/>
          </reference>
        </references>
      </pivotArea>
    </chartFormat>
    <chartFormat chart="19" format="24">
      <pivotArea type="data" outline="0" fieldPosition="0">
        <references count="2">
          <reference field="4294967294" count="1" selected="0">
            <x v="0"/>
          </reference>
          <reference field="3" count="1" selected="0">
            <x v="2"/>
          </reference>
        </references>
      </pivotArea>
    </chartFormat>
    <chartFormat chart="19" format="25">
      <pivotArea type="data" outline="0" fieldPosition="0">
        <references count="2">
          <reference field="4294967294" count="1" selected="0">
            <x v="0"/>
          </reference>
          <reference field="3" count="1" selected="0">
            <x v="3"/>
          </reference>
        </references>
      </pivotArea>
    </chartFormat>
    <chartFormat chart="19" format="26">
      <pivotArea type="data" outline="0" fieldPosition="0">
        <references count="2">
          <reference field="4294967294" count="1" selected="0">
            <x v="0"/>
          </reference>
          <reference field="3" count="1" selected="0">
            <x v="4"/>
          </reference>
        </references>
      </pivotArea>
    </chartFormat>
    <chartFormat chart="19" format="27" series="1">
      <pivotArea type="data" outline="0" fieldPosition="0">
        <references count="1">
          <reference field="4294967294" count="1" selected="0">
            <x v="1"/>
          </reference>
        </references>
      </pivotArea>
    </chartFormat>
    <chartFormat chart="19" format="28">
      <pivotArea type="data" outline="0" fieldPosition="0">
        <references count="2">
          <reference field="4294967294" count="1" selected="0">
            <x v="1"/>
          </reference>
          <reference field="3" count="1" selected="0">
            <x v="0"/>
          </reference>
        </references>
      </pivotArea>
    </chartFormat>
    <chartFormat chart="19" format="29">
      <pivotArea type="data" outline="0" fieldPosition="0">
        <references count="2">
          <reference field="4294967294" count="1" selected="0">
            <x v="1"/>
          </reference>
          <reference field="3" count="1" selected="0">
            <x v="1"/>
          </reference>
        </references>
      </pivotArea>
    </chartFormat>
    <chartFormat chart="19" format="30">
      <pivotArea type="data" outline="0" fieldPosition="0">
        <references count="2">
          <reference field="4294967294" count="1" selected="0">
            <x v="1"/>
          </reference>
          <reference field="3" count="1" selected="0">
            <x v="2"/>
          </reference>
        </references>
      </pivotArea>
    </chartFormat>
    <chartFormat chart="19" format="31">
      <pivotArea type="data" outline="0" fieldPosition="0">
        <references count="2">
          <reference field="4294967294" count="1" selected="0">
            <x v="1"/>
          </reference>
          <reference field="3" count="1" selected="0">
            <x v="3"/>
          </reference>
        </references>
      </pivotArea>
    </chartFormat>
    <chartFormat chart="19" format="32">
      <pivotArea type="data" outline="0" fieldPosition="0">
        <references count="2">
          <reference field="4294967294" count="1" selected="0">
            <x v="1"/>
          </reference>
          <reference field="3" count="1" selected="0">
            <x v="4"/>
          </reference>
        </references>
      </pivotArea>
    </chartFormat>
    <chartFormat chart="19" format="33" series="1">
      <pivotArea type="data" outline="0" fieldPosition="0">
        <references count="1">
          <reference field="4294967294" count="1" selected="0">
            <x v="2"/>
          </reference>
        </references>
      </pivotArea>
    </chartFormat>
    <chartFormat chart="19" format="34">
      <pivotArea type="data" outline="0" fieldPosition="0">
        <references count="2">
          <reference field="4294967294" count="1" selected="0">
            <x v="2"/>
          </reference>
          <reference field="3" count="1" selected="0">
            <x v="0"/>
          </reference>
        </references>
      </pivotArea>
    </chartFormat>
    <chartFormat chart="19" format="35">
      <pivotArea type="data" outline="0" fieldPosition="0">
        <references count="2">
          <reference field="4294967294" count="1" selected="0">
            <x v="2"/>
          </reference>
          <reference field="3" count="1" selected="0">
            <x v="1"/>
          </reference>
        </references>
      </pivotArea>
    </chartFormat>
    <chartFormat chart="19" format="36">
      <pivotArea type="data" outline="0" fieldPosition="0">
        <references count="2">
          <reference field="4294967294" count="1" selected="0">
            <x v="2"/>
          </reference>
          <reference field="3" count="1" selected="0">
            <x v="2"/>
          </reference>
        </references>
      </pivotArea>
    </chartFormat>
    <chartFormat chart="19" format="37">
      <pivotArea type="data" outline="0" fieldPosition="0">
        <references count="2">
          <reference field="4294967294" count="1" selected="0">
            <x v="2"/>
          </reference>
          <reference field="3" count="1" selected="0">
            <x v="3"/>
          </reference>
        </references>
      </pivotArea>
    </chartFormat>
    <chartFormat chart="19" format="38">
      <pivotArea type="data" outline="0" fieldPosition="0">
        <references count="2">
          <reference field="4294967294" count="1" selected="0">
            <x v="2"/>
          </reference>
          <reference field="3" count="1" selected="0">
            <x v="4"/>
          </reference>
        </references>
      </pivotArea>
    </chartFormat>
    <chartFormat chart="20" format="39" series="1">
      <pivotArea type="data" outline="0" fieldPosition="0">
        <references count="1">
          <reference field="4294967294" count="1" selected="0">
            <x v="0"/>
          </reference>
        </references>
      </pivotArea>
    </chartFormat>
    <chartFormat chart="20" format="40">
      <pivotArea type="data" outline="0" fieldPosition="0">
        <references count="2">
          <reference field="4294967294" count="1" selected="0">
            <x v="0"/>
          </reference>
          <reference field="3" count="1" selected="0">
            <x v="0"/>
          </reference>
        </references>
      </pivotArea>
    </chartFormat>
    <chartFormat chart="20" format="41">
      <pivotArea type="data" outline="0" fieldPosition="0">
        <references count="2">
          <reference field="4294967294" count="1" selected="0">
            <x v="0"/>
          </reference>
          <reference field="3" count="1" selected="0">
            <x v="1"/>
          </reference>
        </references>
      </pivotArea>
    </chartFormat>
    <chartFormat chart="20" format="42">
      <pivotArea type="data" outline="0" fieldPosition="0">
        <references count="2">
          <reference field="4294967294" count="1" selected="0">
            <x v="0"/>
          </reference>
          <reference field="3" count="1" selected="0">
            <x v="2"/>
          </reference>
        </references>
      </pivotArea>
    </chartFormat>
    <chartFormat chart="20" format="43">
      <pivotArea type="data" outline="0" fieldPosition="0">
        <references count="2">
          <reference field="4294967294" count="1" selected="0">
            <x v="0"/>
          </reference>
          <reference field="3" count="1" selected="0">
            <x v="3"/>
          </reference>
        </references>
      </pivotArea>
    </chartFormat>
    <chartFormat chart="20" format="44">
      <pivotArea type="data" outline="0" fieldPosition="0">
        <references count="2">
          <reference field="4294967294" count="1" selected="0">
            <x v="0"/>
          </reference>
          <reference field="3" count="1" selected="0">
            <x v="4"/>
          </reference>
        </references>
      </pivotArea>
    </chartFormat>
    <chartFormat chart="20" format="45" series="1">
      <pivotArea type="data" outline="0" fieldPosition="0">
        <references count="1">
          <reference field="4294967294" count="1" selected="0">
            <x v="1"/>
          </reference>
        </references>
      </pivotArea>
    </chartFormat>
    <chartFormat chart="20" format="46">
      <pivotArea type="data" outline="0" fieldPosition="0">
        <references count="2">
          <reference field="4294967294" count="1" selected="0">
            <x v="1"/>
          </reference>
          <reference field="3" count="1" selected="0">
            <x v="0"/>
          </reference>
        </references>
      </pivotArea>
    </chartFormat>
    <chartFormat chart="20" format="47">
      <pivotArea type="data" outline="0" fieldPosition="0">
        <references count="2">
          <reference field="4294967294" count="1" selected="0">
            <x v="1"/>
          </reference>
          <reference field="3" count="1" selected="0">
            <x v="1"/>
          </reference>
        </references>
      </pivotArea>
    </chartFormat>
    <chartFormat chart="20" format="48">
      <pivotArea type="data" outline="0" fieldPosition="0">
        <references count="2">
          <reference field="4294967294" count="1" selected="0">
            <x v="1"/>
          </reference>
          <reference field="3" count="1" selected="0">
            <x v="2"/>
          </reference>
        </references>
      </pivotArea>
    </chartFormat>
    <chartFormat chart="20" format="49">
      <pivotArea type="data" outline="0" fieldPosition="0">
        <references count="2">
          <reference field="4294967294" count="1" selected="0">
            <x v="1"/>
          </reference>
          <reference field="3" count="1" selected="0">
            <x v="3"/>
          </reference>
        </references>
      </pivotArea>
    </chartFormat>
    <chartFormat chart="20" format="50">
      <pivotArea type="data" outline="0" fieldPosition="0">
        <references count="2">
          <reference field="4294967294" count="1" selected="0">
            <x v="1"/>
          </reference>
          <reference field="3" count="1" selected="0">
            <x v="4"/>
          </reference>
        </references>
      </pivotArea>
    </chartFormat>
    <chartFormat chart="20" format="51" series="1">
      <pivotArea type="data" outline="0" fieldPosition="0">
        <references count="1">
          <reference field="4294967294" count="1" selected="0">
            <x v="2"/>
          </reference>
        </references>
      </pivotArea>
    </chartFormat>
    <chartFormat chart="20" format="52">
      <pivotArea type="data" outline="0" fieldPosition="0">
        <references count="2">
          <reference field="4294967294" count="1" selected="0">
            <x v="2"/>
          </reference>
          <reference field="3" count="1" selected="0">
            <x v="0"/>
          </reference>
        </references>
      </pivotArea>
    </chartFormat>
    <chartFormat chart="20" format="53">
      <pivotArea type="data" outline="0" fieldPosition="0">
        <references count="2">
          <reference field="4294967294" count="1" selected="0">
            <x v="2"/>
          </reference>
          <reference field="3" count="1" selected="0">
            <x v="1"/>
          </reference>
        </references>
      </pivotArea>
    </chartFormat>
    <chartFormat chart="20" format="54">
      <pivotArea type="data" outline="0" fieldPosition="0">
        <references count="2">
          <reference field="4294967294" count="1" selected="0">
            <x v="2"/>
          </reference>
          <reference field="3" count="1" selected="0">
            <x v="2"/>
          </reference>
        </references>
      </pivotArea>
    </chartFormat>
    <chartFormat chart="20" format="55">
      <pivotArea type="data" outline="0" fieldPosition="0">
        <references count="2">
          <reference field="4294967294" count="1" selected="0">
            <x v="2"/>
          </reference>
          <reference field="3" count="1" selected="0">
            <x v="3"/>
          </reference>
        </references>
      </pivotArea>
    </chartFormat>
    <chartFormat chart="20" format="56">
      <pivotArea type="data" outline="0" fieldPosition="0">
        <references count="2">
          <reference field="4294967294" count="1" selected="0">
            <x v="2"/>
          </reference>
          <reference field="3" count="1" selected="0">
            <x v="4"/>
          </reference>
        </references>
      </pivotArea>
    </chartFormat>
    <chartFormat chart="22" format="75" series="1">
      <pivotArea type="data" outline="0" fieldPosition="0">
        <references count="1">
          <reference field="4294967294" count="1" selected="0">
            <x v="0"/>
          </reference>
        </references>
      </pivotArea>
    </chartFormat>
    <chartFormat chart="22" format="76">
      <pivotArea type="data" outline="0" fieldPosition="0">
        <references count="2">
          <reference field="4294967294" count="1" selected="0">
            <x v="0"/>
          </reference>
          <reference field="3" count="1" selected="0">
            <x v="0"/>
          </reference>
        </references>
      </pivotArea>
    </chartFormat>
    <chartFormat chart="22" format="77">
      <pivotArea type="data" outline="0" fieldPosition="0">
        <references count="2">
          <reference field="4294967294" count="1" selected="0">
            <x v="0"/>
          </reference>
          <reference field="3" count="1" selected="0">
            <x v="1"/>
          </reference>
        </references>
      </pivotArea>
    </chartFormat>
    <chartFormat chart="22" format="78">
      <pivotArea type="data" outline="0" fieldPosition="0">
        <references count="2">
          <reference field="4294967294" count="1" selected="0">
            <x v="0"/>
          </reference>
          <reference field="3" count="1" selected="0">
            <x v="2"/>
          </reference>
        </references>
      </pivotArea>
    </chartFormat>
    <chartFormat chart="22" format="79">
      <pivotArea type="data" outline="0" fieldPosition="0">
        <references count="2">
          <reference field="4294967294" count="1" selected="0">
            <x v="0"/>
          </reference>
          <reference field="3" count="1" selected="0">
            <x v="3"/>
          </reference>
        </references>
      </pivotArea>
    </chartFormat>
    <chartFormat chart="22" format="80">
      <pivotArea type="data" outline="0" fieldPosition="0">
        <references count="2">
          <reference field="4294967294" count="1" selected="0">
            <x v="0"/>
          </reference>
          <reference field="3" count="1" selected="0">
            <x v="4"/>
          </reference>
        </references>
      </pivotArea>
    </chartFormat>
    <chartFormat chart="22" format="81" series="1">
      <pivotArea type="data" outline="0" fieldPosition="0">
        <references count="1">
          <reference field="4294967294" count="1" selected="0">
            <x v="1"/>
          </reference>
        </references>
      </pivotArea>
    </chartFormat>
    <chartFormat chart="22" format="82">
      <pivotArea type="data" outline="0" fieldPosition="0">
        <references count="2">
          <reference field="4294967294" count="1" selected="0">
            <x v="1"/>
          </reference>
          <reference field="3" count="1" selected="0">
            <x v="0"/>
          </reference>
        </references>
      </pivotArea>
    </chartFormat>
    <chartFormat chart="22" format="83">
      <pivotArea type="data" outline="0" fieldPosition="0">
        <references count="2">
          <reference field="4294967294" count="1" selected="0">
            <x v="1"/>
          </reference>
          <reference field="3" count="1" selected="0">
            <x v="1"/>
          </reference>
        </references>
      </pivotArea>
    </chartFormat>
    <chartFormat chart="22" format="84">
      <pivotArea type="data" outline="0" fieldPosition="0">
        <references count="2">
          <reference field="4294967294" count="1" selected="0">
            <x v="1"/>
          </reference>
          <reference field="3" count="1" selected="0">
            <x v="2"/>
          </reference>
        </references>
      </pivotArea>
    </chartFormat>
    <chartFormat chart="22" format="85">
      <pivotArea type="data" outline="0" fieldPosition="0">
        <references count="2">
          <reference field="4294967294" count="1" selected="0">
            <x v="1"/>
          </reference>
          <reference field="3" count="1" selected="0">
            <x v="3"/>
          </reference>
        </references>
      </pivotArea>
    </chartFormat>
    <chartFormat chart="22" format="86">
      <pivotArea type="data" outline="0" fieldPosition="0">
        <references count="2">
          <reference field="4294967294" count="1" selected="0">
            <x v="1"/>
          </reference>
          <reference field="3" count="1" selected="0">
            <x v="4"/>
          </reference>
        </references>
      </pivotArea>
    </chartFormat>
    <chartFormat chart="22" format="87" series="1">
      <pivotArea type="data" outline="0" fieldPosition="0">
        <references count="1">
          <reference field="4294967294" count="1" selected="0">
            <x v="2"/>
          </reference>
        </references>
      </pivotArea>
    </chartFormat>
    <chartFormat chart="22" format="88">
      <pivotArea type="data" outline="0" fieldPosition="0">
        <references count="2">
          <reference field="4294967294" count="1" selected="0">
            <x v="2"/>
          </reference>
          <reference field="3" count="1" selected="0">
            <x v="0"/>
          </reference>
        </references>
      </pivotArea>
    </chartFormat>
    <chartFormat chart="22" format="89">
      <pivotArea type="data" outline="0" fieldPosition="0">
        <references count="2">
          <reference field="4294967294" count="1" selected="0">
            <x v="2"/>
          </reference>
          <reference field="3" count="1" selected="0">
            <x v="1"/>
          </reference>
        </references>
      </pivotArea>
    </chartFormat>
    <chartFormat chart="22" format="90">
      <pivotArea type="data" outline="0" fieldPosition="0">
        <references count="2">
          <reference field="4294967294" count="1" selected="0">
            <x v="2"/>
          </reference>
          <reference field="3" count="1" selected="0">
            <x v="2"/>
          </reference>
        </references>
      </pivotArea>
    </chartFormat>
    <chartFormat chart="22" format="91">
      <pivotArea type="data" outline="0" fieldPosition="0">
        <references count="2">
          <reference field="4294967294" count="1" selected="0">
            <x v="2"/>
          </reference>
          <reference field="3" count="1" selected="0">
            <x v="3"/>
          </reference>
        </references>
      </pivotArea>
    </chartFormat>
    <chartFormat chart="22" format="92">
      <pivotArea type="data" outline="0" fieldPosition="0">
        <references count="2">
          <reference field="4294967294" count="1" selected="0">
            <x v="2"/>
          </reference>
          <reference field="3" count="1" selected="0">
            <x v="4"/>
          </reference>
        </references>
      </pivotArea>
    </chartFormat>
    <chartFormat chart="23" format="93" series="1">
      <pivotArea type="data" outline="0" fieldPosition="0">
        <references count="1">
          <reference field="4294967294" count="1" selected="0">
            <x v="0"/>
          </reference>
        </references>
      </pivotArea>
    </chartFormat>
    <chartFormat chart="23" format="94">
      <pivotArea type="data" outline="0" fieldPosition="0">
        <references count="2">
          <reference field="4294967294" count="1" selected="0">
            <x v="0"/>
          </reference>
          <reference field="3" count="1" selected="0">
            <x v="0"/>
          </reference>
        </references>
      </pivotArea>
    </chartFormat>
    <chartFormat chart="23" format="95">
      <pivotArea type="data" outline="0" fieldPosition="0">
        <references count="2">
          <reference field="4294967294" count="1" selected="0">
            <x v="0"/>
          </reference>
          <reference field="3" count="1" selected="0">
            <x v="1"/>
          </reference>
        </references>
      </pivotArea>
    </chartFormat>
    <chartFormat chart="23" format="96">
      <pivotArea type="data" outline="0" fieldPosition="0">
        <references count="2">
          <reference field="4294967294" count="1" selected="0">
            <x v="0"/>
          </reference>
          <reference field="3" count="1" selected="0">
            <x v="2"/>
          </reference>
        </references>
      </pivotArea>
    </chartFormat>
    <chartFormat chart="23" format="97">
      <pivotArea type="data" outline="0" fieldPosition="0">
        <references count="2">
          <reference field="4294967294" count="1" selected="0">
            <x v="0"/>
          </reference>
          <reference field="3" count="1" selected="0">
            <x v="3"/>
          </reference>
        </references>
      </pivotArea>
    </chartFormat>
    <chartFormat chart="23" format="98">
      <pivotArea type="data" outline="0" fieldPosition="0">
        <references count="2">
          <reference field="4294967294" count="1" selected="0">
            <x v="0"/>
          </reference>
          <reference field="3" count="1" selected="0">
            <x v="4"/>
          </reference>
        </references>
      </pivotArea>
    </chartFormat>
    <chartFormat chart="23" format="99" series="1">
      <pivotArea type="data" outline="0" fieldPosition="0">
        <references count="1">
          <reference field="4294967294" count="1" selected="0">
            <x v="1"/>
          </reference>
        </references>
      </pivotArea>
    </chartFormat>
    <chartFormat chart="23" format="100">
      <pivotArea type="data" outline="0" fieldPosition="0">
        <references count="2">
          <reference field="4294967294" count="1" selected="0">
            <x v="1"/>
          </reference>
          <reference field="3" count="1" selected="0">
            <x v="0"/>
          </reference>
        </references>
      </pivotArea>
    </chartFormat>
    <chartFormat chart="23" format="101">
      <pivotArea type="data" outline="0" fieldPosition="0">
        <references count="2">
          <reference field="4294967294" count="1" selected="0">
            <x v="1"/>
          </reference>
          <reference field="3" count="1" selected="0">
            <x v="1"/>
          </reference>
        </references>
      </pivotArea>
    </chartFormat>
    <chartFormat chart="23" format="102">
      <pivotArea type="data" outline="0" fieldPosition="0">
        <references count="2">
          <reference field="4294967294" count="1" selected="0">
            <x v="1"/>
          </reference>
          <reference field="3" count="1" selected="0">
            <x v="2"/>
          </reference>
        </references>
      </pivotArea>
    </chartFormat>
    <chartFormat chart="23" format="103">
      <pivotArea type="data" outline="0" fieldPosition="0">
        <references count="2">
          <reference field="4294967294" count="1" selected="0">
            <x v="1"/>
          </reference>
          <reference field="3" count="1" selected="0">
            <x v="3"/>
          </reference>
        </references>
      </pivotArea>
    </chartFormat>
    <chartFormat chart="23" format="104">
      <pivotArea type="data" outline="0" fieldPosition="0">
        <references count="2">
          <reference field="4294967294" count="1" selected="0">
            <x v="1"/>
          </reference>
          <reference field="3" count="1" selected="0">
            <x v="4"/>
          </reference>
        </references>
      </pivotArea>
    </chartFormat>
    <chartFormat chart="23" format="105" series="1">
      <pivotArea type="data" outline="0" fieldPosition="0">
        <references count="1">
          <reference field="4294967294" count="1" selected="0">
            <x v="2"/>
          </reference>
        </references>
      </pivotArea>
    </chartFormat>
    <chartFormat chart="23" format="106">
      <pivotArea type="data" outline="0" fieldPosition="0">
        <references count="2">
          <reference field="4294967294" count="1" selected="0">
            <x v="2"/>
          </reference>
          <reference field="3" count="1" selected="0">
            <x v="0"/>
          </reference>
        </references>
      </pivotArea>
    </chartFormat>
    <chartFormat chart="23" format="107">
      <pivotArea type="data" outline="0" fieldPosition="0">
        <references count="2">
          <reference field="4294967294" count="1" selected="0">
            <x v="2"/>
          </reference>
          <reference field="3" count="1" selected="0">
            <x v="1"/>
          </reference>
        </references>
      </pivotArea>
    </chartFormat>
    <chartFormat chart="23" format="108">
      <pivotArea type="data" outline="0" fieldPosition="0">
        <references count="2">
          <reference field="4294967294" count="1" selected="0">
            <x v="2"/>
          </reference>
          <reference field="3" count="1" selected="0">
            <x v="2"/>
          </reference>
        </references>
      </pivotArea>
    </chartFormat>
    <chartFormat chart="23" format="109">
      <pivotArea type="data" outline="0" fieldPosition="0">
        <references count="2">
          <reference field="4294967294" count="1" selected="0">
            <x v="2"/>
          </reference>
          <reference field="3" count="1" selected="0">
            <x v="3"/>
          </reference>
        </references>
      </pivotArea>
    </chartFormat>
    <chartFormat chart="23" format="110">
      <pivotArea type="data" outline="0" fieldPosition="0">
        <references count="2">
          <reference field="4294967294" count="1" selected="0">
            <x v="2"/>
          </reference>
          <reference field="3" count="1" selected="0">
            <x v="4"/>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0" format="7">
      <pivotArea type="data" outline="0" fieldPosition="0">
        <references count="2">
          <reference field="4294967294" count="1" selected="0">
            <x v="0"/>
          </reference>
          <reference field="3" count="1" selected="0">
            <x v="4"/>
          </reference>
        </references>
      </pivotArea>
    </chartFormat>
    <chartFormat chart="0" format="8">
      <pivotArea type="data" outline="0" fieldPosition="0">
        <references count="2">
          <reference field="4294967294" count="1" selected="0">
            <x v="1"/>
          </reference>
          <reference field="3" count="1" selected="0">
            <x v="0"/>
          </reference>
        </references>
      </pivotArea>
    </chartFormat>
    <chartFormat chart="0" format="9">
      <pivotArea type="data" outline="0" fieldPosition="0">
        <references count="2">
          <reference field="4294967294" count="1" selected="0">
            <x v="1"/>
          </reference>
          <reference field="3" count="1" selected="0">
            <x v="1"/>
          </reference>
        </references>
      </pivotArea>
    </chartFormat>
    <chartFormat chart="0" format="10">
      <pivotArea type="data" outline="0" fieldPosition="0">
        <references count="2">
          <reference field="4294967294" count="1" selected="0">
            <x v="1"/>
          </reference>
          <reference field="3" count="1" selected="0">
            <x v="2"/>
          </reference>
        </references>
      </pivotArea>
    </chartFormat>
    <chartFormat chart="0" format="11">
      <pivotArea type="data" outline="0" fieldPosition="0">
        <references count="2">
          <reference field="4294967294" count="1" selected="0">
            <x v="1"/>
          </reference>
          <reference field="3" count="1" selected="0">
            <x v="3"/>
          </reference>
        </references>
      </pivotArea>
    </chartFormat>
    <chartFormat chart="0" format="12">
      <pivotArea type="data" outline="0" fieldPosition="0">
        <references count="2">
          <reference field="4294967294" count="1" selected="0">
            <x v="1"/>
          </reference>
          <reference field="3" count="1" selected="0">
            <x v="4"/>
          </reference>
        </references>
      </pivotArea>
    </chartFormat>
    <chartFormat chart="0" format="13">
      <pivotArea type="data" outline="0" fieldPosition="0">
        <references count="2">
          <reference field="4294967294" count="1" selected="0">
            <x v="2"/>
          </reference>
          <reference field="3" count="1" selected="0">
            <x v="0"/>
          </reference>
        </references>
      </pivotArea>
    </chartFormat>
    <chartFormat chart="0" format="14">
      <pivotArea type="data" outline="0" fieldPosition="0">
        <references count="2">
          <reference field="4294967294" count="1" selected="0">
            <x v="2"/>
          </reference>
          <reference field="3" count="1" selected="0">
            <x v="1"/>
          </reference>
        </references>
      </pivotArea>
    </chartFormat>
    <chartFormat chart="0" format="15">
      <pivotArea type="data" outline="0" fieldPosition="0">
        <references count="2">
          <reference field="4294967294" count="1" selected="0">
            <x v="2"/>
          </reference>
          <reference field="3" count="1" selected="0">
            <x v="2"/>
          </reference>
        </references>
      </pivotArea>
    </chartFormat>
    <chartFormat chart="0" format="16">
      <pivotArea type="data" outline="0" fieldPosition="0">
        <references count="2">
          <reference field="4294967294" count="1" selected="0">
            <x v="2"/>
          </reference>
          <reference field="3" count="1" selected="0">
            <x v="3"/>
          </reference>
        </references>
      </pivotArea>
    </chartFormat>
    <chartFormat chart="0" format="17">
      <pivotArea type="data" outline="0" fieldPosition="0">
        <references count="2">
          <reference field="4294967294" count="1" selected="0">
            <x v="2"/>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BE2E2A-FF33-45FD-B675-70291C61097E}"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A12:E30" firstHeaderRow="0" firstDataRow="1" firstDataCol="1"/>
  <pivotFields count="7">
    <pivotField compact="0" outline="0" showAll="0"/>
    <pivotField axis="axisRow" dataField="1" compact="0" outline="0" showAll="0" defaultSubtotal="0">
      <items count="17">
        <item sd="0" x="0"/>
        <item sd="0" x="13"/>
        <item sd="0" x="1"/>
        <item sd="0" x="15"/>
        <item sd="0" x="12"/>
        <item sd="0" x="6"/>
        <item sd="0" x="3"/>
        <item sd="0" x="5"/>
        <item sd="0" x="11"/>
        <item sd="0" x="7"/>
        <item sd="0" x="8"/>
        <item sd="0" x="14"/>
        <item sd="0" x="16"/>
        <item sd="0" x="9"/>
        <item sd="0" x="4"/>
        <item sd="0" x="10"/>
        <item sd="0" x="2"/>
      </items>
    </pivotField>
    <pivotField dataField="1" compact="0" numFmtId="3" outline="0" showAll="0"/>
    <pivotField compact="0" outline="0" showAll="0">
      <items count="6">
        <item x="0"/>
        <item x="2"/>
        <item x="4"/>
        <item x="3"/>
        <item x="1"/>
        <item t="default"/>
      </items>
    </pivotField>
    <pivotField compact="0" numFmtId="164" outline="0" showAll="0"/>
    <pivotField compact="0" numFmtId="164" outline="0" showAll="0"/>
    <pivotField dataField="1" compact="0" outline="0" showAll="0"/>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4">
    <i>
      <x/>
    </i>
    <i i="1">
      <x v="1"/>
    </i>
    <i i="2">
      <x v="2"/>
    </i>
    <i i="3">
      <x v="3"/>
    </i>
  </colItems>
  <dataFields count="4">
    <dataField name="PO's Placed" fld="1" subtotal="count" baseField="0" baseItem="0"/>
    <dataField name="Average of QTY" fld="2" subtotal="average" baseField="0" baseItem="0" numFmtId="3"/>
    <dataField name="Sum of QTY" fld="2" baseField="0" baseItem="0" numFmtId="3"/>
    <dataField name="Average Lead Time (Days)" fld="6" subtotal="average" baseField="0" baseItem="0"/>
  </dataFields>
  <formats count="12">
    <format dxfId="728">
      <pivotArea grandRow="1" outline="0" collapsedLevelsAreSubtotals="1" fieldPosition="0"/>
    </format>
    <format dxfId="727">
      <pivotArea dataOnly="0" labelOnly="1" outline="0" fieldPosition="0">
        <references count="1">
          <reference field="4294967294" count="1">
            <x v="3"/>
          </reference>
        </references>
      </pivotArea>
    </format>
    <format dxfId="726">
      <pivotArea field="3" type="button" dataOnly="0" labelOnly="1" outline="0"/>
    </format>
    <format dxfId="725">
      <pivotArea dataOnly="0" labelOnly="1" outline="0" fieldPosition="0">
        <references count="1">
          <reference field="4294967294" count="3">
            <x v="0"/>
            <x v="1"/>
            <x v="3"/>
          </reference>
        </references>
      </pivotArea>
    </format>
    <format dxfId="724">
      <pivotArea field="3" type="button" dataOnly="0" labelOnly="1" outline="0"/>
    </format>
    <format dxfId="723">
      <pivotArea dataOnly="0" labelOnly="1" outline="0" fieldPosition="0">
        <references count="1">
          <reference field="4294967294" count="3">
            <x v="0"/>
            <x v="1"/>
            <x v="3"/>
          </reference>
        </references>
      </pivotArea>
    </format>
    <format dxfId="722">
      <pivotArea dataOnly="0" labelOnly="1" outline="0" fieldPosition="0">
        <references count="1">
          <reference field="4294967294" count="2">
            <x v="0"/>
            <x v="1"/>
          </reference>
        </references>
      </pivotArea>
    </format>
    <format dxfId="721">
      <pivotArea outline="0" fieldPosition="0">
        <references count="2">
          <reference field="4294967294" count="1" selected="0">
            <x v="3"/>
          </reference>
          <reference field="1" count="0" selected="0"/>
        </references>
      </pivotArea>
    </format>
    <format dxfId="720">
      <pivotArea field="1" type="button" dataOnly="0" labelOnly="1" outline="0" axis="axisRow" fieldPosition="0"/>
    </format>
    <format dxfId="719">
      <pivotArea field="1" type="button" dataOnly="0" labelOnly="1" outline="0" axis="axisRow" fieldPosition="0"/>
    </format>
    <format dxfId="718">
      <pivotArea dataOnly="0" labelOnly="1" outline="0" fieldPosition="0">
        <references count="1">
          <reference field="4294967294" count="1">
            <x v="2"/>
          </reference>
        </references>
      </pivotArea>
    </format>
    <format dxfId="717">
      <pivotArea dataOnly="0" labelOnly="1" outline="0" fieldPosition="0">
        <references count="1">
          <reference field="4294967294" count="1">
            <x v="2"/>
          </reference>
        </references>
      </pivotArea>
    </format>
  </format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3"/>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3"/>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3"/>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3"/>
          </reference>
        </references>
      </pivotArea>
    </chartFormat>
    <chartFormat chart="11" format="3"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5" series="1">
      <pivotArea type="data" outline="0" fieldPosition="0">
        <references count="1">
          <reference field="4294967294" count="1" selected="0">
            <x v="3"/>
          </reference>
        </references>
      </pivotArea>
    </chartFormat>
    <chartFormat chart="12" format="21" series="1">
      <pivotArea type="data" outline="0" fieldPosition="0">
        <references count="1">
          <reference field="4294967294" count="1" selected="0">
            <x v="0"/>
          </reference>
        </references>
      </pivotArea>
    </chartFormat>
    <chartFormat chart="12" format="27" series="1">
      <pivotArea type="data" outline="0" fieldPosition="0">
        <references count="1">
          <reference field="4294967294" count="1" selected="0">
            <x v="1"/>
          </reference>
        </references>
      </pivotArea>
    </chartFormat>
    <chartFormat chart="12" format="33" series="1">
      <pivotArea type="data" outline="0" fieldPosition="0">
        <references count="1">
          <reference field="4294967294" count="1" selected="0">
            <x v="3"/>
          </reference>
        </references>
      </pivotArea>
    </chartFormat>
    <chartFormat chart="14" format="3"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5" series="1">
      <pivotArea type="data" outline="0" fieldPosition="0">
        <references count="1">
          <reference field="4294967294" count="1" selected="0">
            <x v="3"/>
          </reference>
        </references>
      </pivotArea>
    </chartFormat>
    <chartFormat chart="15" format="21" series="1">
      <pivotArea type="data" outline="0" fieldPosition="0">
        <references count="1">
          <reference field="4294967294" count="1" selected="0">
            <x v="0"/>
          </reference>
        </references>
      </pivotArea>
    </chartFormat>
    <chartFormat chart="15" format="27" series="1">
      <pivotArea type="data" outline="0" fieldPosition="0">
        <references count="1">
          <reference field="4294967294" count="1" selected="0">
            <x v="1"/>
          </reference>
        </references>
      </pivotArea>
    </chartFormat>
    <chartFormat chart="15" format="33" series="1">
      <pivotArea type="data" outline="0" fieldPosition="0">
        <references count="1">
          <reference field="4294967294" count="1" selected="0">
            <x v="3"/>
          </reference>
        </references>
      </pivotArea>
    </chartFormat>
    <chartFormat chart="18" format="3"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8" format="15" series="1">
      <pivotArea type="data" outline="0" fieldPosition="0">
        <references count="1">
          <reference field="4294967294" count="1" selected="0">
            <x v="3"/>
          </reference>
        </references>
      </pivotArea>
    </chartFormat>
    <chartFormat chart="19" format="21" series="1">
      <pivotArea type="data" outline="0" fieldPosition="0">
        <references count="1">
          <reference field="4294967294" count="1" selected="0">
            <x v="0"/>
          </reference>
        </references>
      </pivotArea>
    </chartFormat>
    <chartFormat chart="19" format="27" series="1">
      <pivotArea type="data" outline="0" fieldPosition="0">
        <references count="1">
          <reference field="4294967294" count="1" selected="0">
            <x v="1"/>
          </reference>
        </references>
      </pivotArea>
    </chartFormat>
    <chartFormat chart="19" format="33" series="1">
      <pivotArea type="data" outline="0" fieldPosition="0">
        <references count="1">
          <reference field="4294967294" count="1" selected="0">
            <x v="3"/>
          </reference>
        </references>
      </pivotArea>
    </chartFormat>
    <chartFormat chart="20" format="39" series="1">
      <pivotArea type="data" outline="0" fieldPosition="0">
        <references count="1">
          <reference field="4294967294" count="1" selected="0">
            <x v="0"/>
          </reference>
        </references>
      </pivotArea>
    </chartFormat>
    <chartFormat chart="20" format="45" series="1">
      <pivotArea type="data" outline="0" fieldPosition="0">
        <references count="1">
          <reference field="4294967294" count="1" selected="0">
            <x v="1"/>
          </reference>
        </references>
      </pivotArea>
    </chartFormat>
    <chartFormat chart="20" format="51" series="1">
      <pivotArea type="data" outline="0" fieldPosition="0">
        <references count="1">
          <reference field="4294967294" count="1" selected="0">
            <x v="3"/>
          </reference>
        </references>
      </pivotArea>
    </chartFormat>
    <chartFormat chart="22" format="75" series="1">
      <pivotArea type="data" outline="0" fieldPosition="0">
        <references count="1">
          <reference field="4294967294" count="1" selected="0">
            <x v="0"/>
          </reference>
        </references>
      </pivotArea>
    </chartFormat>
    <chartFormat chart="22" format="81" series="1">
      <pivotArea type="data" outline="0" fieldPosition="0">
        <references count="1">
          <reference field="4294967294" count="1" selected="0">
            <x v="1"/>
          </reference>
        </references>
      </pivotArea>
    </chartFormat>
    <chartFormat chart="22" format="87" series="1">
      <pivotArea type="data" outline="0" fieldPosition="0">
        <references count="1">
          <reference field="4294967294" count="1" selected="0">
            <x v="3"/>
          </reference>
        </references>
      </pivotArea>
    </chartFormat>
    <chartFormat chart="23" format="93" series="1">
      <pivotArea type="data" outline="0" fieldPosition="0">
        <references count="1">
          <reference field="4294967294" count="1" selected="0">
            <x v="0"/>
          </reference>
        </references>
      </pivotArea>
    </chartFormat>
    <chartFormat chart="23" format="99" series="1">
      <pivotArea type="data" outline="0" fieldPosition="0">
        <references count="1">
          <reference field="4294967294" count="1" selected="0">
            <x v="1"/>
          </reference>
        </references>
      </pivotArea>
    </chartFormat>
    <chartFormat chart="23" format="10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5D7EC6-109A-4E0A-B8B1-E2492CE4D7A3}" name="Vendor PivotTabl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A2:D8" firstHeaderRow="0" firstDataRow="1" firstDataCol="1"/>
  <pivotFields count="7">
    <pivotField compact="0" outline="0" showAll="0"/>
    <pivotField dataField="1" compact="0" outline="0" showAll="0">
      <items count="18">
        <item x="0"/>
        <item x="7"/>
        <item x="8"/>
        <item x="14"/>
        <item x="16"/>
        <item x="9"/>
        <item x="4"/>
        <item x="10"/>
        <item x="2"/>
        <item x="13"/>
        <item x="1"/>
        <item x="15"/>
        <item x="12"/>
        <item x="6"/>
        <item x="3"/>
        <item x="5"/>
        <item x="11"/>
        <item t="default"/>
      </items>
    </pivotField>
    <pivotField dataField="1" compact="0" numFmtId="3" outline="0" showAll="0"/>
    <pivotField axis="axisRow" compact="0" outline="0" showAll="0">
      <items count="6">
        <item x="0"/>
        <item x="2"/>
        <item x="4"/>
        <item x="3"/>
        <item x="1"/>
        <item t="default"/>
      </items>
    </pivotField>
    <pivotField compact="0" numFmtId="164" outline="0" showAll="0"/>
    <pivotField compact="0" numFmtId="164" outline="0" showAll="0"/>
    <pivotField dataField="1" compact="0" outline="0" showAll="0"/>
  </pivotFields>
  <rowFields count="1">
    <field x="3"/>
  </rowFields>
  <rowItems count="6">
    <i>
      <x/>
    </i>
    <i>
      <x v="1"/>
    </i>
    <i>
      <x v="2"/>
    </i>
    <i>
      <x v="3"/>
    </i>
    <i>
      <x v="4"/>
    </i>
    <i t="grand">
      <x/>
    </i>
  </rowItems>
  <colFields count="1">
    <field x="-2"/>
  </colFields>
  <colItems count="3">
    <i>
      <x/>
    </i>
    <i i="1">
      <x v="1"/>
    </i>
    <i i="2">
      <x v="2"/>
    </i>
  </colItems>
  <dataFields count="3">
    <dataField name="PO's Placed" fld="1" subtotal="count" baseField="0" baseItem="0"/>
    <dataField name="QTY Average" fld="2" subtotal="average" baseField="0" baseItem="0" numFmtId="3"/>
    <dataField name="Average of Lead Time (Days)" fld="6" subtotal="average" baseField="0" baseItem="0"/>
  </dataFields>
  <formats count="8">
    <format dxfId="736">
      <pivotArea outline="0" fieldPosition="0">
        <references count="1">
          <reference field="3" count="0" selected="0"/>
        </references>
      </pivotArea>
    </format>
    <format dxfId="735">
      <pivotArea grandRow="1" outline="0" collapsedLevelsAreSubtotals="1" fieldPosition="0"/>
    </format>
    <format dxfId="734">
      <pivotArea dataOnly="0" labelOnly="1" outline="0" fieldPosition="0">
        <references count="1">
          <reference field="4294967294" count="1">
            <x v="2"/>
          </reference>
        </references>
      </pivotArea>
    </format>
    <format dxfId="733">
      <pivotArea field="3" type="button" dataOnly="0" labelOnly="1" outline="0" axis="axisRow" fieldPosition="0"/>
    </format>
    <format dxfId="732">
      <pivotArea dataOnly="0" labelOnly="1" outline="0" fieldPosition="0">
        <references count="1">
          <reference field="4294967294" count="3">
            <x v="0"/>
            <x v="1"/>
            <x v="2"/>
          </reference>
        </references>
      </pivotArea>
    </format>
    <format dxfId="731">
      <pivotArea field="3" type="button" dataOnly="0" labelOnly="1" outline="0" axis="axisRow" fieldPosition="0"/>
    </format>
    <format dxfId="730">
      <pivotArea dataOnly="0" labelOnly="1" outline="0" fieldPosition="0">
        <references count="1">
          <reference field="4294967294" count="3">
            <x v="0"/>
            <x v="1"/>
            <x v="2"/>
          </reference>
        </references>
      </pivotArea>
    </format>
    <format dxfId="729">
      <pivotArea dataOnly="0" labelOnly="1" outline="0" fieldPosition="0">
        <references count="1">
          <reference field="4294967294" count="2">
            <x v="0"/>
            <x v="1"/>
          </reference>
        </references>
      </pivotArea>
    </format>
  </formats>
  <chartFormats count="19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3" count="1" selected="0">
            <x v="0"/>
          </reference>
        </references>
      </pivotArea>
    </chartFormat>
    <chartFormat chart="11" format="5">
      <pivotArea type="data" outline="0" fieldPosition="0">
        <references count="2">
          <reference field="4294967294" count="1" selected="0">
            <x v="0"/>
          </reference>
          <reference field="3" count="1" selected="0">
            <x v="1"/>
          </reference>
        </references>
      </pivotArea>
    </chartFormat>
    <chartFormat chart="11" format="6">
      <pivotArea type="data" outline="0" fieldPosition="0">
        <references count="2">
          <reference field="4294967294" count="1" selected="0">
            <x v="0"/>
          </reference>
          <reference field="3" count="1" selected="0">
            <x v="2"/>
          </reference>
        </references>
      </pivotArea>
    </chartFormat>
    <chartFormat chart="11" format="7">
      <pivotArea type="data" outline="0" fieldPosition="0">
        <references count="2">
          <reference field="4294967294" count="1" selected="0">
            <x v="0"/>
          </reference>
          <reference field="3" count="1" selected="0">
            <x v="3"/>
          </reference>
        </references>
      </pivotArea>
    </chartFormat>
    <chartFormat chart="11" format="8">
      <pivotArea type="data" outline="0" fieldPosition="0">
        <references count="2">
          <reference field="4294967294" count="1" selected="0">
            <x v="0"/>
          </reference>
          <reference field="3" count="1" selected="0">
            <x v="4"/>
          </reference>
        </references>
      </pivotArea>
    </chartFormat>
    <chartFormat chart="11" format="9" series="1">
      <pivotArea type="data" outline="0" fieldPosition="0">
        <references count="1">
          <reference field="4294967294" count="1" selected="0">
            <x v="1"/>
          </reference>
        </references>
      </pivotArea>
    </chartFormat>
    <chartFormat chart="11" format="10">
      <pivotArea type="data" outline="0" fieldPosition="0">
        <references count="2">
          <reference field="4294967294" count="1" selected="0">
            <x v="1"/>
          </reference>
          <reference field="3" count="1" selected="0">
            <x v="0"/>
          </reference>
        </references>
      </pivotArea>
    </chartFormat>
    <chartFormat chart="11" format="11">
      <pivotArea type="data" outline="0" fieldPosition="0">
        <references count="2">
          <reference field="4294967294" count="1" selected="0">
            <x v="1"/>
          </reference>
          <reference field="3" count="1" selected="0">
            <x v="1"/>
          </reference>
        </references>
      </pivotArea>
    </chartFormat>
    <chartFormat chart="11" format="12">
      <pivotArea type="data" outline="0" fieldPosition="0">
        <references count="2">
          <reference field="4294967294" count="1" selected="0">
            <x v="1"/>
          </reference>
          <reference field="3" count="1" selected="0">
            <x v="2"/>
          </reference>
        </references>
      </pivotArea>
    </chartFormat>
    <chartFormat chart="11" format="13">
      <pivotArea type="data" outline="0" fieldPosition="0">
        <references count="2">
          <reference field="4294967294" count="1" selected="0">
            <x v="1"/>
          </reference>
          <reference field="3" count="1" selected="0">
            <x v="3"/>
          </reference>
        </references>
      </pivotArea>
    </chartFormat>
    <chartFormat chart="11" format="14">
      <pivotArea type="data" outline="0" fieldPosition="0">
        <references count="2">
          <reference field="4294967294" count="1" selected="0">
            <x v="1"/>
          </reference>
          <reference field="3" count="1" selected="0">
            <x v="4"/>
          </reference>
        </references>
      </pivotArea>
    </chartFormat>
    <chartFormat chart="11" format="15" series="1">
      <pivotArea type="data" outline="0" fieldPosition="0">
        <references count="1">
          <reference field="4294967294" count="1" selected="0">
            <x v="2"/>
          </reference>
        </references>
      </pivotArea>
    </chartFormat>
    <chartFormat chart="11" format="16">
      <pivotArea type="data" outline="0" fieldPosition="0">
        <references count="2">
          <reference field="4294967294" count="1" selected="0">
            <x v="2"/>
          </reference>
          <reference field="3" count="1" selected="0">
            <x v="0"/>
          </reference>
        </references>
      </pivotArea>
    </chartFormat>
    <chartFormat chart="11" format="17">
      <pivotArea type="data" outline="0" fieldPosition="0">
        <references count="2">
          <reference field="4294967294" count="1" selected="0">
            <x v="2"/>
          </reference>
          <reference field="3" count="1" selected="0">
            <x v="1"/>
          </reference>
        </references>
      </pivotArea>
    </chartFormat>
    <chartFormat chart="11" format="18">
      <pivotArea type="data" outline="0" fieldPosition="0">
        <references count="2">
          <reference field="4294967294" count="1" selected="0">
            <x v="2"/>
          </reference>
          <reference field="3" count="1" selected="0">
            <x v="2"/>
          </reference>
        </references>
      </pivotArea>
    </chartFormat>
    <chartFormat chart="11" format="19">
      <pivotArea type="data" outline="0" fieldPosition="0">
        <references count="2">
          <reference field="4294967294" count="1" selected="0">
            <x v="2"/>
          </reference>
          <reference field="3" count="1" selected="0">
            <x v="3"/>
          </reference>
        </references>
      </pivotArea>
    </chartFormat>
    <chartFormat chart="11" format="20">
      <pivotArea type="data" outline="0" fieldPosition="0">
        <references count="2">
          <reference field="4294967294" count="1" selected="0">
            <x v="2"/>
          </reference>
          <reference field="3" count="1" selected="0">
            <x v="4"/>
          </reference>
        </references>
      </pivotArea>
    </chartFormat>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3" count="1" selected="0">
            <x v="0"/>
          </reference>
        </references>
      </pivotArea>
    </chartFormat>
    <chartFormat chart="12" format="23">
      <pivotArea type="data" outline="0" fieldPosition="0">
        <references count="2">
          <reference field="4294967294" count="1" selected="0">
            <x v="0"/>
          </reference>
          <reference field="3" count="1" selected="0">
            <x v="1"/>
          </reference>
        </references>
      </pivotArea>
    </chartFormat>
    <chartFormat chart="12" format="24">
      <pivotArea type="data" outline="0" fieldPosition="0">
        <references count="2">
          <reference field="4294967294" count="1" selected="0">
            <x v="0"/>
          </reference>
          <reference field="3" count="1" selected="0">
            <x v="2"/>
          </reference>
        </references>
      </pivotArea>
    </chartFormat>
    <chartFormat chart="12" format="25">
      <pivotArea type="data" outline="0" fieldPosition="0">
        <references count="2">
          <reference field="4294967294" count="1" selected="0">
            <x v="0"/>
          </reference>
          <reference field="3" count="1" selected="0">
            <x v="3"/>
          </reference>
        </references>
      </pivotArea>
    </chartFormat>
    <chartFormat chart="12" format="26">
      <pivotArea type="data" outline="0" fieldPosition="0">
        <references count="2">
          <reference field="4294967294" count="1" selected="0">
            <x v="0"/>
          </reference>
          <reference field="3" count="1" selected="0">
            <x v="4"/>
          </reference>
        </references>
      </pivotArea>
    </chartFormat>
    <chartFormat chart="12" format="27" series="1">
      <pivotArea type="data" outline="0" fieldPosition="0">
        <references count="1">
          <reference field="4294967294" count="1" selected="0">
            <x v="1"/>
          </reference>
        </references>
      </pivotArea>
    </chartFormat>
    <chartFormat chart="12" format="28">
      <pivotArea type="data" outline="0" fieldPosition="0">
        <references count="2">
          <reference field="4294967294" count="1" selected="0">
            <x v="1"/>
          </reference>
          <reference field="3" count="1" selected="0">
            <x v="0"/>
          </reference>
        </references>
      </pivotArea>
    </chartFormat>
    <chartFormat chart="12" format="29">
      <pivotArea type="data" outline="0" fieldPosition="0">
        <references count="2">
          <reference field="4294967294" count="1" selected="0">
            <x v="1"/>
          </reference>
          <reference field="3" count="1" selected="0">
            <x v="1"/>
          </reference>
        </references>
      </pivotArea>
    </chartFormat>
    <chartFormat chart="12" format="30">
      <pivotArea type="data" outline="0" fieldPosition="0">
        <references count="2">
          <reference field="4294967294" count="1" selected="0">
            <x v="1"/>
          </reference>
          <reference field="3" count="1" selected="0">
            <x v="2"/>
          </reference>
        </references>
      </pivotArea>
    </chartFormat>
    <chartFormat chart="12" format="31">
      <pivotArea type="data" outline="0" fieldPosition="0">
        <references count="2">
          <reference field="4294967294" count="1" selected="0">
            <x v="1"/>
          </reference>
          <reference field="3" count="1" selected="0">
            <x v="3"/>
          </reference>
        </references>
      </pivotArea>
    </chartFormat>
    <chartFormat chart="12" format="32">
      <pivotArea type="data" outline="0" fieldPosition="0">
        <references count="2">
          <reference field="4294967294" count="1" selected="0">
            <x v="1"/>
          </reference>
          <reference field="3" count="1" selected="0">
            <x v="4"/>
          </reference>
        </references>
      </pivotArea>
    </chartFormat>
    <chartFormat chart="12" format="33" series="1">
      <pivotArea type="data" outline="0" fieldPosition="0">
        <references count="1">
          <reference field="4294967294" count="1" selected="0">
            <x v="2"/>
          </reference>
        </references>
      </pivotArea>
    </chartFormat>
    <chartFormat chart="12" format="34">
      <pivotArea type="data" outline="0" fieldPosition="0">
        <references count="2">
          <reference field="4294967294" count="1" selected="0">
            <x v="2"/>
          </reference>
          <reference field="3" count="1" selected="0">
            <x v="0"/>
          </reference>
        </references>
      </pivotArea>
    </chartFormat>
    <chartFormat chart="12" format="35">
      <pivotArea type="data" outline="0" fieldPosition="0">
        <references count="2">
          <reference field="4294967294" count="1" selected="0">
            <x v="2"/>
          </reference>
          <reference field="3" count="1" selected="0">
            <x v="1"/>
          </reference>
        </references>
      </pivotArea>
    </chartFormat>
    <chartFormat chart="12" format="36">
      <pivotArea type="data" outline="0" fieldPosition="0">
        <references count="2">
          <reference field="4294967294" count="1" selected="0">
            <x v="2"/>
          </reference>
          <reference field="3" count="1" selected="0">
            <x v="2"/>
          </reference>
        </references>
      </pivotArea>
    </chartFormat>
    <chartFormat chart="12" format="37">
      <pivotArea type="data" outline="0" fieldPosition="0">
        <references count="2">
          <reference field="4294967294" count="1" selected="0">
            <x v="2"/>
          </reference>
          <reference field="3" count="1" selected="0">
            <x v="3"/>
          </reference>
        </references>
      </pivotArea>
    </chartFormat>
    <chartFormat chart="12" format="38">
      <pivotArea type="data" outline="0" fieldPosition="0">
        <references count="2">
          <reference field="4294967294" count="1" selected="0">
            <x v="2"/>
          </reference>
          <reference field="3" count="1" selected="0">
            <x v="4"/>
          </reference>
        </references>
      </pivotArea>
    </chartFormat>
    <chartFormat chart="14" format="3" series="1">
      <pivotArea type="data" outline="0" fieldPosition="0">
        <references count="1">
          <reference field="4294967294" count="1" selected="0">
            <x v="0"/>
          </reference>
        </references>
      </pivotArea>
    </chartFormat>
    <chartFormat chart="14" format="4">
      <pivotArea type="data" outline="0" fieldPosition="0">
        <references count="2">
          <reference field="4294967294" count="1" selected="0">
            <x v="0"/>
          </reference>
          <reference field="3" count="1" selected="0">
            <x v="0"/>
          </reference>
        </references>
      </pivotArea>
    </chartFormat>
    <chartFormat chart="14" format="5">
      <pivotArea type="data" outline="0" fieldPosition="0">
        <references count="2">
          <reference field="4294967294" count="1" selected="0">
            <x v="0"/>
          </reference>
          <reference field="3" count="1" selected="0">
            <x v="1"/>
          </reference>
        </references>
      </pivotArea>
    </chartFormat>
    <chartFormat chart="14" format="6">
      <pivotArea type="data" outline="0" fieldPosition="0">
        <references count="2">
          <reference field="4294967294" count="1" selected="0">
            <x v="0"/>
          </reference>
          <reference field="3" count="1" selected="0">
            <x v="2"/>
          </reference>
        </references>
      </pivotArea>
    </chartFormat>
    <chartFormat chart="14" format="7">
      <pivotArea type="data" outline="0" fieldPosition="0">
        <references count="2">
          <reference field="4294967294" count="1" selected="0">
            <x v="0"/>
          </reference>
          <reference field="3" count="1" selected="0">
            <x v="3"/>
          </reference>
        </references>
      </pivotArea>
    </chartFormat>
    <chartFormat chart="14" format="8">
      <pivotArea type="data" outline="0" fieldPosition="0">
        <references count="2">
          <reference field="4294967294" count="1" selected="0">
            <x v="0"/>
          </reference>
          <reference field="3" count="1" selected="0">
            <x v="4"/>
          </reference>
        </references>
      </pivotArea>
    </chartFormat>
    <chartFormat chart="14" format="9" series="1">
      <pivotArea type="data" outline="0" fieldPosition="0">
        <references count="1">
          <reference field="4294967294" count="1" selected="0">
            <x v="1"/>
          </reference>
        </references>
      </pivotArea>
    </chartFormat>
    <chartFormat chart="14" format="10">
      <pivotArea type="data" outline="0" fieldPosition="0">
        <references count="2">
          <reference field="4294967294" count="1" selected="0">
            <x v="1"/>
          </reference>
          <reference field="3" count="1" selected="0">
            <x v="0"/>
          </reference>
        </references>
      </pivotArea>
    </chartFormat>
    <chartFormat chart="14" format="11">
      <pivotArea type="data" outline="0" fieldPosition="0">
        <references count="2">
          <reference field="4294967294" count="1" selected="0">
            <x v="1"/>
          </reference>
          <reference field="3" count="1" selected="0">
            <x v="1"/>
          </reference>
        </references>
      </pivotArea>
    </chartFormat>
    <chartFormat chart="14" format="12">
      <pivotArea type="data" outline="0" fieldPosition="0">
        <references count="2">
          <reference field="4294967294" count="1" selected="0">
            <x v="1"/>
          </reference>
          <reference field="3" count="1" selected="0">
            <x v="2"/>
          </reference>
        </references>
      </pivotArea>
    </chartFormat>
    <chartFormat chart="14" format="13">
      <pivotArea type="data" outline="0" fieldPosition="0">
        <references count="2">
          <reference field="4294967294" count="1" selected="0">
            <x v="1"/>
          </reference>
          <reference field="3" count="1" selected="0">
            <x v="3"/>
          </reference>
        </references>
      </pivotArea>
    </chartFormat>
    <chartFormat chart="14" format="14">
      <pivotArea type="data" outline="0" fieldPosition="0">
        <references count="2">
          <reference field="4294967294" count="1" selected="0">
            <x v="1"/>
          </reference>
          <reference field="3" count="1" selected="0">
            <x v="4"/>
          </reference>
        </references>
      </pivotArea>
    </chartFormat>
    <chartFormat chart="14" format="15" series="1">
      <pivotArea type="data" outline="0" fieldPosition="0">
        <references count="1">
          <reference field="4294967294" count="1" selected="0">
            <x v="2"/>
          </reference>
        </references>
      </pivotArea>
    </chartFormat>
    <chartFormat chart="14" format="16">
      <pivotArea type="data" outline="0" fieldPosition="0">
        <references count="2">
          <reference field="4294967294" count="1" selected="0">
            <x v="2"/>
          </reference>
          <reference field="3" count="1" selected="0">
            <x v="0"/>
          </reference>
        </references>
      </pivotArea>
    </chartFormat>
    <chartFormat chart="14" format="17">
      <pivotArea type="data" outline="0" fieldPosition="0">
        <references count="2">
          <reference field="4294967294" count="1" selected="0">
            <x v="2"/>
          </reference>
          <reference field="3" count="1" selected="0">
            <x v="1"/>
          </reference>
        </references>
      </pivotArea>
    </chartFormat>
    <chartFormat chart="14" format="18">
      <pivotArea type="data" outline="0" fieldPosition="0">
        <references count="2">
          <reference field="4294967294" count="1" selected="0">
            <x v="2"/>
          </reference>
          <reference field="3" count="1" selected="0">
            <x v="2"/>
          </reference>
        </references>
      </pivotArea>
    </chartFormat>
    <chartFormat chart="14" format="19">
      <pivotArea type="data" outline="0" fieldPosition="0">
        <references count="2">
          <reference field="4294967294" count="1" selected="0">
            <x v="2"/>
          </reference>
          <reference field="3" count="1" selected="0">
            <x v="3"/>
          </reference>
        </references>
      </pivotArea>
    </chartFormat>
    <chartFormat chart="14" format="20">
      <pivotArea type="data" outline="0" fieldPosition="0">
        <references count="2">
          <reference field="4294967294" count="1" selected="0">
            <x v="2"/>
          </reference>
          <reference field="3" count="1" selected="0">
            <x v="4"/>
          </reference>
        </references>
      </pivotArea>
    </chartFormat>
    <chartFormat chart="15" format="21" series="1">
      <pivotArea type="data" outline="0" fieldPosition="0">
        <references count="1">
          <reference field="4294967294" count="1" selected="0">
            <x v="0"/>
          </reference>
        </references>
      </pivotArea>
    </chartFormat>
    <chartFormat chart="15" format="22">
      <pivotArea type="data" outline="0" fieldPosition="0">
        <references count="2">
          <reference field="4294967294" count="1" selected="0">
            <x v="0"/>
          </reference>
          <reference field="3" count="1" selected="0">
            <x v="0"/>
          </reference>
        </references>
      </pivotArea>
    </chartFormat>
    <chartFormat chart="15" format="23">
      <pivotArea type="data" outline="0" fieldPosition="0">
        <references count="2">
          <reference field="4294967294" count="1" selected="0">
            <x v="0"/>
          </reference>
          <reference field="3" count="1" selected="0">
            <x v="1"/>
          </reference>
        </references>
      </pivotArea>
    </chartFormat>
    <chartFormat chart="15" format="24">
      <pivotArea type="data" outline="0" fieldPosition="0">
        <references count="2">
          <reference field="4294967294" count="1" selected="0">
            <x v="0"/>
          </reference>
          <reference field="3" count="1" selected="0">
            <x v="2"/>
          </reference>
        </references>
      </pivotArea>
    </chartFormat>
    <chartFormat chart="15" format="25">
      <pivotArea type="data" outline="0" fieldPosition="0">
        <references count="2">
          <reference field="4294967294" count="1" selected="0">
            <x v="0"/>
          </reference>
          <reference field="3" count="1" selected="0">
            <x v="3"/>
          </reference>
        </references>
      </pivotArea>
    </chartFormat>
    <chartFormat chart="15" format="26">
      <pivotArea type="data" outline="0" fieldPosition="0">
        <references count="2">
          <reference field="4294967294" count="1" selected="0">
            <x v="0"/>
          </reference>
          <reference field="3" count="1" selected="0">
            <x v="4"/>
          </reference>
        </references>
      </pivotArea>
    </chartFormat>
    <chartFormat chart="15" format="27" series="1">
      <pivotArea type="data" outline="0" fieldPosition="0">
        <references count="1">
          <reference field="4294967294" count="1" selected="0">
            <x v="1"/>
          </reference>
        </references>
      </pivotArea>
    </chartFormat>
    <chartFormat chart="15" format="28">
      <pivotArea type="data" outline="0" fieldPosition="0">
        <references count="2">
          <reference field="4294967294" count="1" selected="0">
            <x v="1"/>
          </reference>
          <reference field="3" count="1" selected="0">
            <x v="0"/>
          </reference>
        </references>
      </pivotArea>
    </chartFormat>
    <chartFormat chart="15" format="29">
      <pivotArea type="data" outline="0" fieldPosition="0">
        <references count="2">
          <reference field="4294967294" count="1" selected="0">
            <x v="1"/>
          </reference>
          <reference field="3" count="1" selected="0">
            <x v="1"/>
          </reference>
        </references>
      </pivotArea>
    </chartFormat>
    <chartFormat chart="15" format="30">
      <pivotArea type="data" outline="0" fieldPosition="0">
        <references count="2">
          <reference field="4294967294" count="1" selected="0">
            <x v="1"/>
          </reference>
          <reference field="3" count="1" selected="0">
            <x v="2"/>
          </reference>
        </references>
      </pivotArea>
    </chartFormat>
    <chartFormat chart="15" format="31">
      <pivotArea type="data" outline="0" fieldPosition="0">
        <references count="2">
          <reference field="4294967294" count="1" selected="0">
            <x v="1"/>
          </reference>
          <reference field="3" count="1" selected="0">
            <x v="3"/>
          </reference>
        </references>
      </pivotArea>
    </chartFormat>
    <chartFormat chart="15" format="32">
      <pivotArea type="data" outline="0" fieldPosition="0">
        <references count="2">
          <reference field="4294967294" count="1" selected="0">
            <x v="1"/>
          </reference>
          <reference field="3" count="1" selected="0">
            <x v="4"/>
          </reference>
        </references>
      </pivotArea>
    </chartFormat>
    <chartFormat chart="15" format="33" series="1">
      <pivotArea type="data" outline="0" fieldPosition="0">
        <references count="1">
          <reference field="4294967294" count="1" selected="0">
            <x v="2"/>
          </reference>
        </references>
      </pivotArea>
    </chartFormat>
    <chartFormat chart="15" format="34">
      <pivotArea type="data" outline="0" fieldPosition="0">
        <references count="2">
          <reference field="4294967294" count="1" selected="0">
            <x v="2"/>
          </reference>
          <reference field="3" count="1" selected="0">
            <x v="0"/>
          </reference>
        </references>
      </pivotArea>
    </chartFormat>
    <chartFormat chart="15" format="35">
      <pivotArea type="data" outline="0" fieldPosition="0">
        <references count="2">
          <reference field="4294967294" count="1" selected="0">
            <x v="2"/>
          </reference>
          <reference field="3" count="1" selected="0">
            <x v="1"/>
          </reference>
        </references>
      </pivotArea>
    </chartFormat>
    <chartFormat chart="15" format="36">
      <pivotArea type="data" outline="0" fieldPosition="0">
        <references count="2">
          <reference field="4294967294" count="1" selected="0">
            <x v="2"/>
          </reference>
          <reference field="3" count="1" selected="0">
            <x v="2"/>
          </reference>
        </references>
      </pivotArea>
    </chartFormat>
    <chartFormat chart="15" format="37">
      <pivotArea type="data" outline="0" fieldPosition="0">
        <references count="2">
          <reference field="4294967294" count="1" selected="0">
            <x v="2"/>
          </reference>
          <reference field="3" count="1" selected="0">
            <x v="3"/>
          </reference>
        </references>
      </pivotArea>
    </chartFormat>
    <chartFormat chart="15" format="38">
      <pivotArea type="data" outline="0" fieldPosition="0">
        <references count="2">
          <reference field="4294967294" count="1" selected="0">
            <x v="2"/>
          </reference>
          <reference field="3" count="1" selected="0">
            <x v="4"/>
          </reference>
        </references>
      </pivotArea>
    </chartFormat>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3" count="1" selected="0">
            <x v="0"/>
          </reference>
        </references>
      </pivotArea>
    </chartFormat>
    <chartFormat chart="18" format="5">
      <pivotArea type="data" outline="0" fieldPosition="0">
        <references count="2">
          <reference field="4294967294" count="1" selected="0">
            <x v="0"/>
          </reference>
          <reference field="3" count="1" selected="0">
            <x v="1"/>
          </reference>
        </references>
      </pivotArea>
    </chartFormat>
    <chartFormat chart="18" format="6">
      <pivotArea type="data" outline="0" fieldPosition="0">
        <references count="2">
          <reference field="4294967294" count="1" selected="0">
            <x v="0"/>
          </reference>
          <reference field="3" count="1" selected="0">
            <x v="2"/>
          </reference>
        </references>
      </pivotArea>
    </chartFormat>
    <chartFormat chart="18" format="7">
      <pivotArea type="data" outline="0" fieldPosition="0">
        <references count="2">
          <reference field="4294967294" count="1" selected="0">
            <x v="0"/>
          </reference>
          <reference field="3" count="1" selected="0">
            <x v="3"/>
          </reference>
        </references>
      </pivotArea>
    </chartFormat>
    <chartFormat chart="18" format="8">
      <pivotArea type="data" outline="0" fieldPosition="0">
        <references count="2">
          <reference field="4294967294" count="1" selected="0">
            <x v="0"/>
          </reference>
          <reference field="3" count="1" selected="0">
            <x v="4"/>
          </reference>
        </references>
      </pivotArea>
    </chartFormat>
    <chartFormat chart="18" format="9" series="1">
      <pivotArea type="data" outline="0" fieldPosition="0">
        <references count="1">
          <reference field="4294967294" count="1" selected="0">
            <x v="1"/>
          </reference>
        </references>
      </pivotArea>
    </chartFormat>
    <chartFormat chart="18" format="10">
      <pivotArea type="data" outline="0" fieldPosition="0">
        <references count="2">
          <reference field="4294967294" count="1" selected="0">
            <x v="1"/>
          </reference>
          <reference field="3" count="1" selected="0">
            <x v="0"/>
          </reference>
        </references>
      </pivotArea>
    </chartFormat>
    <chartFormat chart="18" format="11">
      <pivotArea type="data" outline="0" fieldPosition="0">
        <references count="2">
          <reference field="4294967294" count="1" selected="0">
            <x v="1"/>
          </reference>
          <reference field="3" count="1" selected="0">
            <x v="1"/>
          </reference>
        </references>
      </pivotArea>
    </chartFormat>
    <chartFormat chart="18" format="12">
      <pivotArea type="data" outline="0" fieldPosition="0">
        <references count="2">
          <reference field="4294967294" count="1" selected="0">
            <x v="1"/>
          </reference>
          <reference field="3" count="1" selected="0">
            <x v="2"/>
          </reference>
        </references>
      </pivotArea>
    </chartFormat>
    <chartFormat chart="18" format="13">
      <pivotArea type="data" outline="0" fieldPosition="0">
        <references count="2">
          <reference field="4294967294" count="1" selected="0">
            <x v="1"/>
          </reference>
          <reference field="3" count="1" selected="0">
            <x v="3"/>
          </reference>
        </references>
      </pivotArea>
    </chartFormat>
    <chartFormat chart="18" format="14">
      <pivotArea type="data" outline="0" fieldPosition="0">
        <references count="2">
          <reference field="4294967294" count="1" selected="0">
            <x v="1"/>
          </reference>
          <reference field="3" count="1" selected="0">
            <x v="4"/>
          </reference>
        </references>
      </pivotArea>
    </chartFormat>
    <chartFormat chart="18" format="15" series="1">
      <pivotArea type="data" outline="0" fieldPosition="0">
        <references count="1">
          <reference field="4294967294" count="1" selected="0">
            <x v="2"/>
          </reference>
        </references>
      </pivotArea>
    </chartFormat>
    <chartFormat chart="18" format="16">
      <pivotArea type="data" outline="0" fieldPosition="0">
        <references count="2">
          <reference field="4294967294" count="1" selected="0">
            <x v="2"/>
          </reference>
          <reference field="3" count="1" selected="0">
            <x v="0"/>
          </reference>
        </references>
      </pivotArea>
    </chartFormat>
    <chartFormat chart="18" format="17">
      <pivotArea type="data" outline="0" fieldPosition="0">
        <references count="2">
          <reference field="4294967294" count="1" selected="0">
            <x v="2"/>
          </reference>
          <reference field="3" count="1" selected="0">
            <x v="1"/>
          </reference>
        </references>
      </pivotArea>
    </chartFormat>
    <chartFormat chart="18" format="18">
      <pivotArea type="data" outline="0" fieldPosition="0">
        <references count="2">
          <reference field="4294967294" count="1" selected="0">
            <x v="2"/>
          </reference>
          <reference field="3" count="1" selected="0">
            <x v="2"/>
          </reference>
        </references>
      </pivotArea>
    </chartFormat>
    <chartFormat chart="18" format="19">
      <pivotArea type="data" outline="0" fieldPosition="0">
        <references count="2">
          <reference field="4294967294" count="1" selected="0">
            <x v="2"/>
          </reference>
          <reference field="3" count="1" selected="0">
            <x v="3"/>
          </reference>
        </references>
      </pivotArea>
    </chartFormat>
    <chartFormat chart="18" format="20">
      <pivotArea type="data" outline="0" fieldPosition="0">
        <references count="2">
          <reference field="4294967294" count="1" selected="0">
            <x v="2"/>
          </reference>
          <reference field="3" count="1" selected="0">
            <x v="4"/>
          </reference>
        </references>
      </pivotArea>
    </chartFormat>
    <chartFormat chart="19" format="21" series="1">
      <pivotArea type="data" outline="0" fieldPosition="0">
        <references count="1">
          <reference field="4294967294" count="1" selected="0">
            <x v="0"/>
          </reference>
        </references>
      </pivotArea>
    </chartFormat>
    <chartFormat chart="19" format="22">
      <pivotArea type="data" outline="0" fieldPosition="0">
        <references count="2">
          <reference field="4294967294" count="1" selected="0">
            <x v="0"/>
          </reference>
          <reference field="3" count="1" selected="0">
            <x v="0"/>
          </reference>
        </references>
      </pivotArea>
    </chartFormat>
    <chartFormat chart="19" format="23">
      <pivotArea type="data" outline="0" fieldPosition="0">
        <references count="2">
          <reference field="4294967294" count="1" selected="0">
            <x v="0"/>
          </reference>
          <reference field="3" count="1" selected="0">
            <x v="1"/>
          </reference>
        </references>
      </pivotArea>
    </chartFormat>
    <chartFormat chart="19" format="24">
      <pivotArea type="data" outline="0" fieldPosition="0">
        <references count="2">
          <reference field="4294967294" count="1" selected="0">
            <x v="0"/>
          </reference>
          <reference field="3" count="1" selected="0">
            <x v="2"/>
          </reference>
        </references>
      </pivotArea>
    </chartFormat>
    <chartFormat chart="19" format="25">
      <pivotArea type="data" outline="0" fieldPosition="0">
        <references count="2">
          <reference field="4294967294" count="1" selected="0">
            <x v="0"/>
          </reference>
          <reference field="3" count="1" selected="0">
            <x v="3"/>
          </reference>
        </references>
      </pivotArea>
    </chartFormat>
    <chartFormat chart="19" format="26">
      <pivotArea type="data" outline="0" fieldPosition="0">
        <references count="2">
          <reference field="4294967294" count="1" selected="0">
            <x v="0"/>
          </reference>
          <reference field="3" count="1" selected="0">
            <x v="4"/>
          </reference>
        </references>
      </pivotArea>
    </chartFormat>
    <chartFormat chart="19" format="27" series="1">
      <pivotArea type="data" outline="0" fieldPosition="0">
        <references count="1">
          <reference field="4294967294" count="1" selected="0">
            <x v="1"/>
          </reference>
        </references>
      </pivotArea>
    </chartFormat>
    <chartFormat chart="19" format="28">
      <pivotArea type="data" outline="0" fieldPosition="0">
        <references count="2">
          <reference field="4294967294" count="1" selected="0">
            <x v="1"/>
          </reference>
          <reference field="3" count="1" selected="0">
            <x v="0"/>
          </reference>
        </references>
      </pivotArea>
    </chartFormat>
    <chartFormat chart="19" format="29">
      <pivotArea type="data" outline="0" fieldPosition="0">
        <references count="2">
          <reference field="4294967294" count="1" selected="0">
            <x v="1"/>
          </reference>
          <reference field="3" count="1" selected="0">
            <x v="1"/>
          </reference>
        </references>
      </pivotArea>
    </chartFormat>
    <chartFormat chart="19" format="30">
      <pivotArea type="data" outline="0" fieldPosition="0">
        <references count="2">
          <reference field="4294967294" count="1" selected="0">
            <x v="1"/>
          </reference>
          <reference field="3" count="1" selected="0">
            <x v="2"/>
          </reference>
        </references>
      </pivotArea>
    </chartFormat>
    <chartFormat chart="19" format="31">
      <pivotArea type="data" outline="0" fieldPosition="0">
        <references count="2">
          <reference field="4294967294" count="1" selected="0">
            <x v="1"/>
          </reference>
          <reference field="3" count="1" selected="0">
            <x v="3"/>
          </reference>
        </references>
      </pivotArea>
    </chartFormat>
    <chartFormat chart="19" format="32">
      <pivotArea type="data" outline="0" fieldPosition="0">
        <references count="2">
          <reference field="4294967294" count="1" selected="0">
            <x v="1"/>
          </reference>
          <reference field="3" count="1" selected="0">
            <x v="4"/>
          </reference>
        </references>
      </pivotArea>
    </chartFormat>
    <chartFormat chart="19" format="33" series="1">
      <pivotArea type="data" outline="0" fieldPosition="0">
        <references count="1">
          <reference field="4294967294" count="1" selected="0">
            <x v="2"/>
          </reference>
        </references>
      </pivotArea>
    </chartFormat>
    <chartFormat chart="19" format="34">
      <pivotArea type="data" outline="0" fieldPosition="0">
        <references count="2">
          <reference field="4294967294" count="1" selected="0">
            <x v="2"/>
          </reference>
          <reference field="3" count="1" selected="0">
            <x v="0"/>
          </reference>
        </references>
      </pivotArea>
    </chartFormat>
    <chartFormat chart="19" format="35">
      <pivotArea type="data" outline="0" fieldPosition="0">
        <references count="2">
          <reference field="4294967294" count="1" selected="0">
            <x v="2"/>
          </reference>
          <reference field="3" count="1" selected="0">
            <x v="1"/>
          </reference>
        </references>
      </pivotArea>
    </chartFormat>
    <chartFormat chart="19" format="36">
      <pivotArea type="data" outline="0" fieldPosition="0">
        <references count="2">
          <reference field="4294967294" count="1" selected="0">
            <x v="2"/>
          </reference>
          <reference field="3" count="1" selected="0">
            <x v="2"/>
          </reference>
        </references>
      </pivotArea>
    </chartFormat>
    <chartFormat chart="19" format="37">
      <pivotArea type="data" outline="0" fieldPosition="0">
        <references count="2">
          <reference field="4294967294" count="1" selected="0">
            <x v="2"/>
          </reference>
          <reference field="3" count="1" selected="0">
            <x v="3"/>
          </reference>
        </references>
      </pivotArea>
    </chartFormat>
    <chartFormat chart="19" format="38">
      <pivotArea type="data" outline="0" fieldPosition="0">
        <references count="2">
          <reference field="4294967294" count="1" selected="0">
            <x v="2"/>
          </reference>
          <reference field="3" count="1" selected="0">
            <x v="4"/>
          </reference>
        </references>
      </pivotArea>
    </chartFormat>
    <chartFormat chart="20" format="39" series="1">
      <pivotArea type="data" outline="0" fieldPosition="0">
        <references count="1">
          <reference field="4294967294" count="1" selected="0">
            <x v="0"/>
          </reference>
        </references>
      </pivotArea>
    </chartFormat>
    <chartFormat chart="20" format="40">
      <pivotArea type="data" outline="0" fieldPosition="0">
        <references count="2">
          <reference field="4294967294" count="1" selected="0">
            <x v="0"/>
          </reference>
          <reference field="3" count="1" selected="0">
            <x v="0"/>
          </reference>
        </references>
      </pivotArea>
    </chartFormat>
    <chartFormat chart="20" format="41">
      <pivotArea type="data" outline="0" fieldPosition="0">
        <references count="2">
          <reference field="4294967294" count="1" selected="0">
            <x v="0"/>
          </reference>
          <reference field="3" count="1" selected="0">
            <x v="1"/>
          </reference>
        </references>
      </pivotArea>
    </chartFormat>
    <chartFormat chart="20" format="42">
      <pivotArea type="data" outline="0" fieldPosition="0">
        <references count="2">
          <reference field="4294967294" count="1" selected="0">
            <x v="0"/>
          </reference>
          <reference field="3" count="1" selected="0">
            <x v="2"/>
          </reference>
        </references>
      </pivotArea>
    </chartFormat>
    <chartFormat chart="20" format="43">
      <pivotArea type="data" outline="0" fieldPosition="0">
        <references count="2">
          <reference field="4294967294" count="1" selected="0">
            <x v="0"/>
          </reference>
          <reference field="3" count="1" selected="0">
            <x v="3"/>
          </reference>
        </references>
      </pivotArea>
    </chartFormat>
    <chartFormat chart="20" format="44">
      <pivotArea type="data" outline="0" fieldPosition="0">
        <references count="2">
          <reference field="4294967294" count="1" selected="0">
            <x v="0"/>
          </reference>
          <reference field="3" count="1" selected="0">
            <x v="4"/>
          </reference>
        </references>
      </pivotArea>
    </chartFormat>
    <chartFormat chart="20" format="45" series="1">
      <pivotArea type="data" outline="0" fieldPosition="0">
        <references count="1">
          <reference field="4294967294" count="1" selected="0">
            <x v="1"/>
          </reference>
        </references>
      </pivotArea>
    </chartFormat>
    <chartFormat chart="20" format="46">
      <pivotArea type="data" outline="0" fieldPosition="0">
        <references count="2">
          <reference field="4294967294" count="1" selected="0">
            <x v="1"/>
          </reference>
          <reference field="3" count="1" selected="0">
            <x v="0"/>
          </reference>
        </references>
      </pivotArea>
    </chartFormat>
    <chartFormat chart="20" format="47">
      <pivotArea type="data" outline="0" fieldPosition="0">
        <references count="2">
          <reference field="4294967294" count="1" selected="0">
            <x v="1"/>
          </reference>
          <reference field="3" count="1" selected="0">
            <x v="1"/>
          </reference>
        </references>
      </pivotArea>
    </chartFormat>
    <chartFormat chart="20" format="48">
      <pivotArea type="data" outline="0" fieldPosition="0">
        <references count="2">
          <reference field="4294967294" count="1" selected="0">
            <x v="1"/>
          </reference>
          <reference field="3" count="1" selected="0">
            <x v="2"/>
          </reference>
        </references>
      </pivotArea>
    </chartFormat>
    <chartFormat chart="20" format="49">
      <pivotArea type="data" outline="0" fieldPosition="0">
        <references count="2">
          <reference field="4294967294" count="1" selected="0">
            <x v="1"/>
          </reference>
          <reference field="3" count="1" selected="0">
            <x v="3"/>
          </reference>
        </references>
      </pivotArea>
    </chartFormat>
    <chartFormat chart="20" format="50">
      <pivotArea type="data" outline="0" fieldPosition="0">
        <references count="2">
          <reference field="4294967294" count="1" selected="0">
            <x v="1"/>
          </reference>
          <reference field="3" count="1" selected="0">
            <x v="4"/>
          </reference>
        </references>
      </pivotArea>
    </chartFormat>
    <chartFormat chart="20" format="51" series="1">
      <pivotArea type="data" outline="0" fieldPosition="0">
        <references count="1">
          <reference field="4294967294" count="1" selected="0">
            <x v="2"/>
          </reference>
        </references>
      </pivotArea>
    </chartFormat>
    <chartFormat chart="20" format="52">
      <pivotArea type="data" outline="0" fieldPosition="0">
        <references count="2">
          <reference field="4294967294" count="1" selected="0">
            <x v="2"/>
          </reference>
          <reference field="3" count="1" selected="0">
            <x v="0"/>
          </reference>
        </references>
      </pivotArea>
    </chartFormat>
    <chartFormat chart="20" format="53">
      <pivotArea type="data" outline="0" fieldPosition="0">
        <references count="2">
          <reference field="4294967294" count="1" selected="0">
            <x v="2"/>
          </reference>
          <reference field="3" count="1" selected="0">
            <x v="1"/>
          </reference>
        </references>
      </pivotArea>
    </chartFormat>
    <chartFormat chart="20" format="54">
      <pivotArea type="data" outline="0" fieldPosition="0">
        <references count="2">
          <reference field="4294967294" count="1" selected="0">
            <x v="2"/>
          </reference>
          <reference field="3" count="1" selected="0">
            <x v="2"/>
          </reference>
        </references>
      </pivotArea>
    </chartFormat>
    <chartFormat chart="20" format="55">
      <pivotArea type="data" outline="0" fieldPosition="0">
        <references count="2">
          <reference field="4294967294" count="1" selected="0">
            <x v="2"/>
          </reference>
          <reference field="3" count="1" selected="0">
            <x v="3"/>
          </reference>
        </references>
      </pivotArea>
    </chartFormat>
    <chartFormat chart="20" format="56">
      <pivotArea type="data" outline="0" fieldPosition="0">
        <references count="2">
          <reference field="4294967294" count="1" selected="0">
            <x v="2"/>
          </reference>
          <reference field="3" count="1" selected="0">
            <x v="4"/>
          </reference>
        </references>
      </pivotArea>
    </chartFormat>
    <chartFormat chart="22" format="75" series="1">
      <pivotArea type="data" outline="0" fieldPosition="0">
        <references count="1">
          <reference field="4294967294" count="1" selected="0">
            <x v="0"/>
          </reference>
        </references>
      </pivotArea>
    </chartFormat>
    <chartFormat chart="22" format="76">
      <pivotArea type="data" outline="0" fieldPosition="0">
        <references count="2">
          <reference field="4294967294" count="1" selected="0">
            <x v="0"/>
          </reference>
          <reference field="3" count="1" selected="0">
            <x v="0"/>
          </reference>
        </references>
      </pivotArea>
    </chartFormat>
    <chartFormat chart="22" format="77">
      <pivotArea type="data" outline="0" fieldPosition="0">
        <references count="2">
          <reference field="4294967294" count="1" selected="0">
            <x v="0"/>
          </reference>
          <reference field="3" count="1" selected="0">
            <x v="1"/>
          </reference>
        </references>
      </pivotArea>
    </chartFormat>
    <chartFormat chart="22" format="78">
      <pivotArea type="data" outline="0" fieldPosition="0">
        <references count="2">
          <reference field="4294967294" count="1" selected="0">
            <x v="0"/>
          </reference>
          <reference field="3" count="1" selected="0">
            <x v="2"/>
          </reference>
        </references>
      </pivotArea>
    </chartFormat>
    <chartFormat chart="22" format="79">
      <pivotArea type="data" outline="0" fieldPosition="0">
        <references count="2">
          <reference field="4294967294" count="1" selected="0">
            <x v="0"/>
          </reference>
          <reference field="3" count="1" selected="0">
            <x v="3"/>
          </reference>
        </references>
      </pivotArea>
    </chartFormat>
    <chartFormat chart="22" format="80">
      <pivotArea type="data" outline="0" fieldPosition="0">
        <references count="2">
          <reference field="4294967294" count="1" selected="0">
            <x v="0"/>
          </reference>
          <reference field="3" count="1" selected="0">
            <x v="4"/>
          </reference>
        </references>
      </pivotArea>
    </chartFormat>
    <chartFormat chart="22" format="81" series="1">
      <pivotArea type="data" outline="0" fieldPosition="0">
        <references count="1">
          <reference field="4294967294" count="1" selected="0">
            <x v="1"/>
          </reference>
        </references>
      </pivotArea>
    </chartFormat>
    <chartFormat chart="22" format="82">
      <pivotArea type="data" outline="0" fieldPosition="0">
        <references count="2">
          <reference field="4294967294" count="1" selected="0">
            <x v="1"/>
          </reference>
          <reference field="3" count="1" selected="0">
            <x v="0"/>
          </reference>
        </references>
      </pivotArea>
    </chartFormat>
    <chartFormat chart="22" format="83">
      <pivotArea type="data" outline="0" fieldPosition="0">
        <references count="2">
          <reference field="4294967294" count="1" selected="0">
            <x v="1"/>
          </reference>
          <reference field="3" count="1" selected="0">
            <x v="1"/>
          </reference>
        </references>
      </pivotArea>
    </chartFormat>
    <chartFormat chart="22" format="84">
      <pivotArea type="data" outline="0" fieldPosition="0">
        <references count="2">
          <reference field="4294967294" count="1" selected="0">
            <x v="1"/>
          </reference>
          <reference field="3" count="1" selected="0">
            <x v="2"/>
          </reference>
        </references>
      </pivotArea>
    </chartFormat>
    <chartFormat chart="22" format="85">
      <pivotArea type="data" outline="0" fieldPosition="0">
        <references count="2">
          <reference field="4294967294" count="1" selected="0">
            <x v="1"/>
          </reference>
          <reference field="3" count="1" selected="0">
            <x v="3"/>
          </reference>
        </references>
      </pivotArea>
    </chartFormat>
    <chartFormat chart="22" format="86">
      <pivotArea type="data" outline="0" fieldPosition="0">
        <references count="2">
          <reference field="4294967294" count="1" selected="0">
            <x v="1"/>
          </reference>
          <reference field="3" count="1" selected="0">
            <x v="4"/>
          </reference>
        </references>
      </pivotArea>
    </chartFormat>
    <chartFormat chart="22" format="87" series="1">
      <pivotArea type="data" outline="0" fieldPosition="0">
        <references count="1">
          <reference field="4294967294" count="1" selected="0">
            <x v="2"/>
          </reference>
        </references>
      </pivotArea>
    </chartFormat>
    <chartFormat chart="22" format="88">
      <pivotArea type="data" outline="0" fieldPosition="0">
        <references count="2">
          <reference field="4294967294" count="1" selected="0">
            <x v="2"/>
          </reference>
          <reference field="3" count="1" selected="0">
            <x v="0"/>
          </reference>
        </references>
      </pivotArea>
    </chartFormat>
    <chartFormat chart="22" format="89">
      <pivotArea type="data" outline="0" fieldPosition="0">
        <references count="2">
          <reference field="4294967294" count="1" selected="0">
            <x v="2"/>
          </reference>
          <reference field="3" count="1" selected="0">
            <x v="1"/>
          </reference>
        </references>
      </pivotArea>
    </chartFormat>
    <chartFormat chart="22" format="90">
      <pivotArea type="data" outline="0" fieldPosition="0">
        <references count="2">
          <reference field="4294967294" count="1" selected="0">
            <x v="2"/>
          </reference>
          <reference field="3" count="1" selected="0">
            <x v="2"/>
          </reference>
        </references>
      </pivotArea>
    </chartFormat>
    <chartFormat chart="22" format="91">
      <pivotArea type="data" outline="0" fieldPosition="0">
        <references count="2">
          <reference field="4294967294" count="1" selected="0">
            <x v="2"/>
          </reference>
          <reference field="3" count="1" selected="0">
            <x v="3"/>
          </reference>
        </references>
      </pivotArea>
    </chartFormat>
    <chartFormat chart="22" format="92">
      <pivotArea type="data" outline="0" fieldPosition="0">
        <references count="2">
          <reference field="4294967294" count="1" selected="0">
            <x v="2"/>
          </reference>
          <reference field="3" count="1" selected="0">
            <x v="4"/>
          </reference>
        </references>
      </pivotArea>
    </chartFormat>
    <chartFormat chart="23" format="93" series="1">
      <pivotArea type="data" outline="0" fieldPosition="0">
        <references count="1">
          <reference field="4294967294" count="1" selected="0">
            <x v="0"/>
          </reference>
        </references>
      </pivotArea>
    </chartFormat>
    <chartFormat chart="23" format="94">
      <pivotArea type="data" outline="0" fieldPosition="0">
        <references count="2">
          <reference field="4294967294" count="1" selected="0">
            <x v="0"/>
          </reference>
          <reference field="3" count="1" selected="0">
            <x v="0"/>
          </reference>
        </references>
      </pivotArea>
    </chartFormat>
    <chartFormat chart="23" format="95">
      <pivotArea type="data" outline="0" fieldPosition="0">
        <references count="2">
          <reference field="4294967294" count="1" selected="0">
            <x v="0"/>
          </reference>
          <reference field="3" count="1" selected="0">
            <x v="1"/>
          </reference>
        </references>
      </pivotArea>
    </chartFormat>
    <chartFormat chart="23" format="96">
      <pivotArea type="data" outline="0" fieldPosition="0">
        <references count="2">
          <reference field="4294967294" count="1" selected="0">
            <x v="0"/>
          </reference>
          <reference field="3" count="1" selected="0">
            <x v="2"/>
          </reference>
        </references>
      </pivotArea>
    </chartFormat>
    <chartFormat chart="23" format="97">
      <pivotArea type="data" outline="0" fieldPosition="0">
        <references count="2">
          <reference field="4294967294" count="1" selected="0">
            <x v="0"/>
          </reference>
          <reference field="3" count="1" selected="0">
            <x v="3"/>
          </reference>
        </references>
      </pivotArea>
    </chartFormat>
    <chartFormat chart="23" format="98">
      <pivotArea type="data" outline="0" fieldPosition="0">
        <references count="2">
          <reference field="4294967294" count="1" selected="0">
            <x v="0"/>
          </reference>
          <reference field="3" count="1" selected="0">
            <x v="4"/>
          </reference>
        </references>
      </pivotArea>
    </chartFormat>
    <chartFormat chart="23" format="99" series="1">
      <pivotArea type="data" outline="0" fieldPosition="0">
        <references count="1">
          <reference field="4294967294" count="1" selected="0">
            <x v="1"/>
          </reference>
        </references>
      </pivotArea>
    </chartFormat>
    <chartFormat chart="23" format="100">
      <pivotArea type="data" outline="0" fieldPosition="0">
        <references count="2">
          <reference field="4294967294" count="1" selected="0">
            <x v="1"/>
          </reference>
          <reference field="3" count="1" selected="0">
            <x v="0"/>
          </reference>
        </references>
      </pivotArea>
    </chartFormat>
    <chartFormat chart="23" format="101">
      <pivotArea type="data" outline="0" fieldPosition="0">
        <references count="2">
          <reference field="4294967294" count="1" selected="0">
            <x v="1"/>
          </reference>
          <reference field="3" count="1" selected="0">
            <x v="1"/>
          </reference>
        </references>
      </pivotArea>
    </chartFormat>
    <chartFormat chart="23" format="102">
      <pivotArea type="data" outline="0" fieldPosition="0">
        <references count="2">
          <reference field="4294967294" count="1" selected="0">
            <x v="1"/>
          </reference>
          <reference field="3" count="1" selected="0">
            <x v="2"/>
          </reference>
        </references>
      </pivotArea>
    </chartFormat>
    <chartFormat chart="23" format="103">
      <pivotArea type="data" outline="0" fieldPosition="0">
        <references count="2">
          <reference field="4294967294" count="1" selected="0">
            <x v="1"/>
          </reference>
          <reference field="3" count="1" selected="0">
            <x v="3"/>
          </reference>
        </references>
      </pivotArea>
    </chartFormat>
    <chartFormat chart="23" format="104">
      <pivotArea type="data" outline="0" fieldPosition="0">
        <references count="2">
          <reference field="4294967294" count="1" selected="0">
            <x v="1"/>
          </reference>
          <reference field="3" count="1" selected="0">
            <x v="4"/>
          </reference>
        </references>
      </pivotArea>
    </chartFormat>
    <chartFormat chart="23" format="105" series="1">
      <pivotArea type="data" outline="0" fieldPosition="0">
        <references count="1">
          <reference field="4294967294" count="1" selected="0">
            <x v="2"/>
          </reference>
        </references>
      </pivotArea>
    </chartFormat>
    <chartFormat chart="23" format="106">
      <pivotArea type="data" outline="0" fieldPosition="0">
        <references count="2">
          <reference field="4294967294" count="1" selected="0">
            <x v="2"/>
          </reference>
          <reference field="3" count="1" selected="0">
            <x v="0"/>
          </reference>
        </references>
      </pivotArea>
    </chartFormat>
    <chartFormat chart="23" format="107">
      <pivotArea type="data" outline="0" fieldPosition="0">
        <references count="2">
          <reference field="4294967294" count="1" selected="0">
            <x v="2"/>
          </reference>
          <reference field="3" count="1" selected="0">
            <x v="1"/>
          </reference>
        </references>
      </pivotArea>
    </chartFormat>
    <chartFormat chart="23" format="108">
      <pivotArea type="data" outline="0" fieldPosition="0">
        <references count="2">
          <reference field="4294967294" count="1" selected="0">
            <x v="2"/>
          </reference>
          <reference field="3" count="1" selected="0">
            <x v="2"/>
          </reference>
        </references>
      </pivotArea>
    </chartFormat>
    <chartFormat chart="23" format="109">
      <pivotArea type="data" outline="0" fieldPosition="0">
        <references count="2">
          <reference field="4294967294" count="1" selected="0">
            <x v="2"/>
          </reference>
          <reference field="3" count="1" selected="0">
            <x v="3"/>
          </reference>
        </references>
      </pivotArea>
    </chartFormat>
    <chartFormat chart="23" format="110">
      <pivotArea type="data" outline="0" fieldPosition="0">
        <references count="2">
          <reference field="4294967294" count="1" selected="0">
            <x v="2"/>
          </reference>
          <reference field="3" count="1" selected="0">
            <x v="4"/>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0" format="7">
      <pivotArea type="data" outline="0" fieldPosition="0">
        <references count="2">
          <reference field="4294967294" count="1" selected="0">
            <x v="0"/>
          </reference>
          <reference field="3" count="1" selected="0">
            <x v="4"/>
          </reference>
        </references>
      </pivotArea>
    </chartFormat>
    <chartFormat chart="0" format="8">
      <pivotArea type="data" outline="0" fieldPosition="0">
        <references count="2">
          <reference field="4294967294" count="1" selected="0">
            <x v="1"/>
          </reference>
          <reference field="3" count="1" selected="0">
            <x v="0"/>
          </reference>
        </references>
      </pivotArea>
    </chartFormat>
    <chartFormat chart="0" format="9">
      <pivotArea type="data" outline="0" fieldPosition="0">
        <references count="2">
          <reference field="4294967294" count="1" selected="0">
            <x v="1"/>
          </reference>
          <reference field="3" count="1" selected="0">
            <x v="1"/>
          </reference>
        </references>
      </pivotArea>
    </chartFormat>
    <chartFormat chart="0" format="10">
      <pivotArea type="data" outline="0" fieldPosition="0">
        <references count="2">
          <reference field="4294967294" count="1" selected="0">
            <x v="1"/>
          </reference>
          <reference field="3" count="1" selected="0">
            <x v="2"/>
          </reference>
        </references>
      </pivotArea>
    </chartFormat>
    <chartFormat chart="0" format="11">
      <pivotArea type="data" outline="0" fieldPosition="0">
        <references count="2">
          <reference field="4294967294" count="1" selected="0">
            <x v="1"/>
          </reference>
          <reference field="3" count="1" selected="0">
            <x v="3"/>
          </reference>
        </references>
      </pivotArea>
    </chartFormat>
    <chartFormat chart="0" format="12">
      <pivotArea type="data" outline="0" fieldPosition="0">
        <references count="2">
          <reference field="4294967294" count="1" selected="0">
            <x v="1"/>
          </reference>
          <reference field="3" count="1" selected="0">
            <x v="4"/>
          </reference>
        </references>
      </pivotArea>
    </chartFormat>
    <chartFormat chart="0" format="13">
      <pivotArea type="data" outline="0" fieldPosition="0">
        <references count="2">
          <reference field="4294967294" count="1" selected="0">
            <x v="2"/>
          </reference>
          <reference field="3" count="1" selected="0">
            <x v="0"/>
          </reference>
        </references>
      </pivotArea>
    </chartFormat>
    <chartFormat chart="0" format="14">
      <pivotArea type="data" outline="0" fieldPosition="0">
        <references count="2">
          <reference field="4294967294" count="1" selected="0">
            <x v="2"/>
          </reference>
          <reference field="3" count="1" selected="0">
            <x v="1"/>
          </reference>
        </references>
      </pivotArea>
    </chartFormat>
    <chartFormat chart="0" format="15">
      <pivotArea type="data" outline="0" fieldPosition="0">
        <references count="2">
          <reference field="4294967294" count="1" selected="0">
            <x v="2"/>
          </reference>
          <reference field="3" count="1" selected="0">
            <x v="2"/>
          </reference>
        </references>
      </pivotArea>
    </chartFormat>
    <chartFormat chart="0" format="16">
      <pivotArea type="data" outline="0" fieldPosition="0">
        <references count="2">
          <reference field="4294967294" count="1" selected="0">
            <x v="2"/>
          </reference>
          <reference field="3" count="1" selected="0">
            <x v="3"/>
          </reference>
        </references>
      </pivotArea>
    </chartFormat>
    <chartFormat chart="0" format="17">
      <pivotArea type="data" outline="0" fieldPosition="0">
        <references count="2">
          <reference field="4294967294" count="1" selected="0">
            <x v="2"/>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1" xr10:uid="{6E3CF656-A8D1-46BE-9D5B-648CBD94BA20}" sourceName="Vendor">
  <pivotTables>
    <pivotTable tabId="5" name="PivotTable5"/>
  </pivotTables>
  <data>
    <tabular pivotCacheId="589811660">
      <items count="5">
        <i x="0" s="1"/>
        <i x="2"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1CA23D5-6990-49D4-ADEE-CD85D4DB7A0C}" sourceName="Product">
  <pivotTables>
    <pivotTable tabId="5" name="Vendor PivotTable"/>
  </pivotTables>
  <data>
    <tabular pivotCacheId="589811660">
      <items count="17">
        <i x="0" s="1"/>
        <i x="7" s="1"/>
        <i x="8" s="1"/>
        <i x="14" s="1"/>
        <i x="16" s="1"/>
        <i x="9" s="1"/>
        <i x="4" s="1"/>
        <i x="10" s="1"/>
        <i x="2" s="1"/>
        <i x="13" s="1"/>
        <i x="1" s="1"/>
        <i x="15" s="1"/>
        <i x="12" s="1"/>
        <i x="6" s="1"/>
        <i x="3" s="1"/>
        <i x="5"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2" xr10:uid="{8BECD8D1-975B-4C36-8D63-8C39CAB2E3C0}" cache="Slicer_Vendor1" caption="Vendor" rowHeight="234950"/>
  <slicer name="Product 1" xr10:uid="{2E5946CD-AF8E-409B-B725-F30E62AB0E6E}" cache="Slicer_Product1" caption="Product" startItem="2"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E2F0A2-20BD-447F-8F72-B8E1D65AEA50}" name="Table3" displayName="Table3" ref="A2:G159" totalsRowShown="0" headerRowDxfId="791" headerRowBorderDxfId="790" tableBorderDxfId="789" totalsRowBorderDxfId="788">
  <autoFilter ref="A2:G159" xr:uid="{00000000-0009-0000-0000-000000000000}"/>
  <tableColumns count="7">
    <tableColumn id="1" xr3:uid="{18C4A5BB-4E67-404B-926E-7D9A7997745E}" name="PO #" dataDxfId="787"/>
    <tableColumn id="2" xr3:uid="{CF6360CB-D120-4B5D-9597-41E4F2A268A7}" name="Product" dataDxfId="786"/>
    <tableColumn id="3" xr3:uid="{049165EE-C20D-4EE3-8930-DC13E883B853}" name="QTY" dataDxfId="785"/>
    <tableColumn id="4" xr3:uid="{C48A337E-62BB-42C2-8C5E-D6DDF6B4B8BA}" name="Vendor" dataDxfId="784"/>
    <tableColumn id="5" xr3:uid="{48429E37-AE93-4AAF-8F02-8BFDC59F51CD}" name="PO Placed" dataDxfId="783"/>
    <tableColumn id="6" xr3:uid="{E1F1A4E6-D6A1-4206-864B-9FD092AE03EB}" name="PO Completed" dataDxfId="782"/>
    <tableColumn id="7" xr3:uid="{A4D3B282-4857-439D-8F5B-2912008B4B4A}" name="Lead Time (Days)" dataDxfId="781">
      <calculatedColumnFormula>IF(OR(E3="",F3=""),"",DATEDIF(E3,F3,"d")&amp;" Days")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5FAB9A-DF2F-490C-99DB-E90619A6B3EB}" name="Table5" displayName="Table5" ref="A2:E8" totalsRowShown="0" headerRowDxfId="760">
  <autoFilter ref="A2:E8" xr:uid="{F35FAB9A-DF2F-490C-99DB-E90619A6B3EB}">
    <filterColumn colId="0" hiddenButton="1"/>
    <filterColumn colId="1" hiddenButton="1"/>
    <filterColumn colId="2" hiddenButton="1"/>
    <filterColumn colId="3" hiddenButton="1"/>
    <filterColumn colId="4" hiddenButton="1"/>
  </autoFilter>
  <tableColumns count="5">
    <tableColumn id="1" xr3:uid="{38528404-81F4-47E1-9A4D-111DD3107B97}" name="Vendor" dataDxfId="759">
      <calculatedColumnFormula>'Summary PivotTables'!A3</calculatedColumnFormula>
    </tableColumn>
    <tableColumn id="2" xr3:uid="{7101FB93-6860-4246-B09E-1AB6A409936F}" name="PO's Placed" dataDxfId="758">
      <calculatedColumnFormula>'Summary PivotTables'!B3</calculatedColumnFormula>
    </tableColumn>
    <tableColumn id="3" xr3:uid="{000EDC4C-8AC3-42B1-A534-7834C1C8E943}" name="Qty Average" dataDxfId="757">
      <calculatedColumnFormula>'Summary PivotTables'!C3</calculatedColumnFormula>
    </tableColumn>
    <tableColumn id="4" xr3:uid="{93188FE0-37E7-47D6-9190-5200198329B2}" name="Average Lead Time (Days)" dataDxfId="756">
      <calculatedColumnFormula>'Summary PivotTables'!D3</calculatedColumnFormula>
    </tableColumn>
    <tableColumn id="5" xr3:uid="{D82B9B2E-65DD-4225-BDF0-98B4FC232902}" name="On Time %" dataDxfId="755">
      <calculatedColumnFormula>IFERROR(COUNTIFS('PO Data'!$D:$D,$A3,'PO Data'!$G:$G,"&lt;=60")/COUNTIFS('PO Data'!$D:$D,$A3),"")</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09B308-F87D-4BBF-A2B7-CFE0D96592E3}" name="Table1" displayName="Table1" ref="A12:F17" totalsRowShown="0" headerRowDxfId="754" dataDxfId="753" tableBorderDxfId="752">
  <autoFilter ref="A12:F17" xr:uid="{3A09B308-F87D-4BBF-A2B7-CFE0D96592E3}">
    <filterColumn colId="0" hiddenButton="1"/>
    <filterColumn colId="1" hiddenButton="1"/>
    <filterColumn colId="2" hiddenButton="1"/>
    <filterColumn colId="3" hiddenButton="1"/>
    <filterColumn colId="4" hiddenButton="1"/>
    <filterColumn colId="5" hiddenButton="1"/>
  </autoFilter>
  <tableColumns count="6">
    <tableColumn id="1" xr3:uid="{D9C46280-8A14-40FB-8407-98DC87663C0D}" name="Vendor" dataDxfId="751"/>
    <tableColumn id="2" xr3:uid="{D89B2F9E-C332-41F7-934B-9BED05D57FE7}" name="Speed Score" dataDxfId="750">
      <calculatedColumnFormula>$D$8-D3 * 0.5</calculatedColumnFormula>
    </tableColumn>
    <tableColumn id="3" xr3:uid="{E1F2CD11-7601-4C51-8DD9-C6CFD2707CF4}" name="Volume Score" dataDxfId="749">
      <calculatedColumnFormula>ROUND(100*C3/SUM($C$3:$C$7),1)</calculatedColumnFormula>
    </tableColumn>
    <tableColumn id="4" xr3:uid="{E4A08F6D-BFA6-4871-A975-AAE97800BD94}" name="Weigted Score" dataDxfId="748">
      <calculatedColumnFormula>MEDIAN(B13:C13)</calculatedColumnFormula>
    </tableColumn>
    <tableColumn id="5" xr3:uid="{84F37C3D-EADD-496E-88EE-C9945B7C3110}" name="Ranking" dataDxfId="747">
      <calculatedColumnFormula>RANK(D13,$D$13:$D$17)</calculatedColumnFormula>
    </tableColumn>
    <tableColumn id="6" xr3:uid="{771FAC85-D681-421D-9E48-C7E1DD4DE4F3}" name="Assesment" dataDxfId="746"/>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BB3000-D996-42AC-B051-2E975A2DC1E5}" name="Table2" displayName="Table2" ref="A2:G20" totalsRowShown="0" headerRowDxfId="745" dataDxfId="743" headerRowBorderDxfId="744">
  <autoFilter ref="A2:G20" xr:uid="{8ABB3000-D996-42AC-B051-2E975A2DC1E5}"/>
  <tableColumns count="7">
    <tableColumn id="1" xr3:uid="{B384BBC2-6827-43C6-815C-B6E7E3056FF8}" name="Product" dataDxfId="742">
      <calculatedColumnFormula>'Summary PivotTables'!A13</calculatedColumnFormula>
    </tableColumn>
    <tableColumn id="2" xr3:uid="{D3CFD22B-B742-4F93-89EB-6D5353F87874}" name="PO's Placed" dataDxfId="741">
      <calculatedColumnFormula>'Summary PivotTables'!B13</calculatedColumnFormula>
    </tableColumn>
    <tableColumn id="3" xr3:uid="{6F871DF7-55F1-4CEE-937B-D7E9093C124A}" name="Average of QTY" dataDxfId="740" dataCellStyle="Comma">
      <calculatedColumnFormula>'Summary PivotTables'!C13</calculatedColumnFormula>
    </tableColumn>
    <tableColumn id="4" xr3:uid="{578DAB6D-AB36-4B14-9C18-BEF33D5E6A96}" name="Sum of QTY" dataDxfId="739" dataCellStyle="Comma">
      <calculatedColumnFormula>'Summary PivotTables'!D13</calculatedColumnFormula>
    </tableColumn>
    <tableColumn id="5" xr3:uid="{A0E9E931-BFAC-4432-9F70-8C580F0375FA}" name="Average Lead Time (Days)" dataDxfId="738" dataCellStyle="Percent">
      <calculatedColumnFormula>'Summary PivotTables'!E13</calculatedColumnFormula>
    </tableColumn>
    <tableColumn id="8" xr3:uid="{407065FA-B2D2-438D-BABC-012A986D4E76}" name="On Time %" dataDxfId="716">
      <calculatedColumnFormula>IFERROR(COUNTIFS('PO Data'!$B:$B,$A3,'PO Data'!$G:$G,"&lt;=60")/COUNTIFS('PO Data'!$B:$B,$A3),"")</calculatedColumnFormula>
    </tableColumn>
    <tableColumn id="6" xr3:uid="{67D39FFB-D0D2-4A32-8683-0F5F07E360D9}" name="Assesment" dataDxfId="737"/>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9BE4-14B1-4B5E-95EE-0B336BD402AC}">
  <dimension ref="A1:F30"/>
  <sheetViews>
    <sheetView workbookViewId="0">
      <selection activeCell="H33" sqref="H32:H33"/>
    </sheetView>
  </sheetViews>
  <sheetFormatPr defaultRowHeight="14.4" x14ac:dyDescent="0.3"/>
  <cols>
    <col min="1" max="1" width="11.77734375" bestFit="1" customWidth="1"/>
    <col min="2" max="2" width="11" bestFit="1" customWidth="1"/>
    <col min="3" max="3" width="8" bestFit="1" customWidth="1"/>
    <col min="4" max="4" width="10.21875" bestFit="1" customWidth="1"/>
    <col min="5" max="5" width="9.6640625" bestFit="1" customWidth="1"/>
    <col min="6" max="6" width="12.44140625" bestFit="1" customWidth="1"/>
    <col min="7" max="16" width="11.77734375" bestFit="1" customWidth="1"/>
    <col min="17" max="17" width="15.77734375" bestFit="1" customWidth="1"/>
    <col min="18" max="18" width="15.6640625" bestFit="1" customWidth="1"/>
    <col min="19" max="19" width="28.33203125" bestFit="1" customWidth="1"/>
    <col min="20" max="27" width="11.88671875" bestFit="1" customWidth="1"/>
    <col min="28" max="35" width="10.6640625" bestFit="1" customWidth="1"/>
    <col min="36" max="36" width="32.109375" bestFit="1" customWidth="1"/>
    <col min="37" max="37" width="20.109375" bestFit="1" customWidth="1"/>
    <col min="38" max="87" width="8.109375" bestFit="1" customWidth="1"/>
    <col min="88" max="88" width="11.6640625" bestFit="1" customWidth="1"/>
  </cols>
  <sheetData>
    <row r="1" spans="1:6" ht="17.399999999999999" x14ac:dyDescent="0.35">
      <c r="A1" s="49" t="s">
        <v>30</v>
      </c>
      <c r="B1" s="49"/>
      <c r="C1" s="49"/>
      <c r="D1" s="49"/>
    </row>
    <row r="2" spans="1:6" ht="43.2" x14ac:dyDescent="0.3">
      <c r="A2" s="22" t="s">
        <v>4</v>
      </c>
      <c r="B2" s="23" t="s">
        <v>31</v>
      </c>
      <c r="C2" s="23" t="s">
        <v>32</v>
      </c>
      <c r="D2" s="23" t="s">
        <v>33</v>
      </c>
    </row>
    <row r="3" spans="1:6" x14ac:dyDescent="0.3">
      <c r="A3" t="s">
        <v>9</v>
      </c>
      <c r="B3" s="21">
        <v>29</v>
      </c>
      <c r="C3" s="21">
        <v>5000</v>
      </c>
      <c r="D3" s="21">
        <v>127.17241379310344</v>
      </c>
    </row>
    <row r="4" spans="1:6" x14ac:dyDescent="0.3">
      <c r="A4" t="s">
        <v>14</v>
      </c>
      <c r="B4" s="21">
        <v>32</v>
      </c>
      <c r="C4" s="21">
        <v>6753.125</v>
      </c>
      <c r="D4" s="21">
        <v>90.3125</v>
      </c>
    </row>
    <row r="5" spans="1:6" x14ac:dyDescent="0.3">
      <c r="A5" t="s">
        <v>18</v>
      </c>
      <c r="B5" s="21">
        <v>28</v>
      </c>
      <c r="C5" s="21">
        <v>4003.5714285714284</v>
      </c>
      <c r="D5" s="21">
        <v>31.071428571428573</v>
      </c>
    </row>
    <row r="6" spans="1:6" x14ac:dyDescent="0.3">
      <c r="A6" t="s">
        <v>16</v>
      </c>
      <c r="B6" s="21">
        <v>47</v>
      </c>
      <c r="C6" s="21">
        <v>8882.978723404256</v>
      </c>
      <c r="D6" s="21">
        <v>77.191489361702125</v>
      </c>
    </row>
    <row r="7" spans="1:6" x14ac:dyDescent="0.3">
      <c r="A7" t="s">
        <v>12</v>
      </c>
      <c r="B7" s="21">
        <v>21</v>
      </c>
      <c r="C7" s="21">
        <v>5733.333333333333</v>
      </c>
      <c r="D7" s="21">
        <v>82.523809523809518</v>
      </c>
    </row>
    <row r="8" spans="1:6" x14ac:dyDescent="0.3">
      <c r="A8" t="s">
        <v>34</v>
      </c>
      <c r="B8" s="21">
        <v>157</v>
      </c>
      <c r="C8" s="21">
        <v>6440.127388535032</v>
      </c>
      <c r="D8" s="21">
        <v>81.585987261146499</v>
      </c>
    </row>
    <row r="11" spans="1:6" ht="17.399999999999999" x14ac:dyDescent="0.35">
      <c r="A11" s="50" t="s">
        <v>49</v>
      </c>
      <c r="B11" s="50"/>
      <c r="C11" s="50"/>
      <c r="D11" s="50"/>
      <c r="E11" s="50"/>
      <c r="F11" s="40"/>
    </row>
    <row r="12" spans="1:6" ht="43.2" x14ac:dyDescent="0.3">
      <c r="A12" s="22" t="s">
        <v>2</v>
      </c>
      <c r="B12" s="23" t="s">
        <v>31</v>
      </c>
      <c r="C12" s="23" t="s">
        <v>48</v>
      </c>
      <c r="D12" s="39" t="s">
        <v>50</v>
      </c>
      <c r="E12" s="23" t="s">
        <v>36</v>
      </c>
    </row>
    <row r="13" spans="1:6" x14ac:dyDescent="0.3">
      <c r="A13" t="s">
        <v>8</v>
      </c>
      <c r="B13">
        <v>8</v>
      </c>
      <c r="C13" s="25">
        <v>4400</v>
      </c>
      <c r="D13" s="25">
        <v>35200</v>
      </c>
      <c r="E13" s="21">
        <v>109.125</v>
      </c>
    </row>
    <row r="14" spans="1:6" x14ac:dyDescent="0.3">
      <c r="A14" t="s">
        <v>26</v>
      </c>
      <c r="B14">
        <v>8</v>
      </c>
      <c r="C14" s="25">
        <v>5212.5</v>
      </c>
      <c r="D14" s="25">
        <v>41700</v>
      </c>
      <c r="E14" s="21">
        <v>133.25</v>
      </c>
    </row>
    <row r="15" spans="1:6" x14ac:dyDescent="0.3">
      <c r="A15" t="s">
        <v>10</v>
      </c>
      <c r="B15">
        <v>10</v>
      </c>
      <c r="C15" s="25">
        <v>4950</v>
      </c>
      <c r="D15" s="25">
        <v>49500</v>
      </c>
      <c r="E15" s="21">
        <v>131.5</v>
      </c>
    </row>
    <row r="16" spans="1:6" x14ac:dyDescent="0.3">
      <c r="A16" t="s">
        <v>28</v>
      </c>
      <c r="B16">
        <v>3</v>
      </c>
      <c r="C16" s="25">
        <v>7300</v>
      </c>
      <c r="D16" s="25">
        <v>21900</v>
      </c>
      <c r="E16" s="21">
        <v>128</v>
      </c>
    </row>
    <row r="17" spans="1:5" x14ac:dyDescent="0.3">
      <c r="A17" t="s">
        <v>25</v>
      </c>
      <c r="B17">
        <v>11</v>
      </c>
      <c r="C17" s="25">
        <v>7327.272727272727</v>
      </c>
      <c r="D17" s="25">
        <v>80600</v>
      </c>
      <c r="E17" s="21">
        <v>81.454545454545453</v>
      </c>
    </row>
    <row r="18" spans="1:5" x14ac:dyDescent="0.3">
      <c r="A18" t="s">
        <v>19</v>
      </c>
      <c r="B18">
        <v>13</v>
      </c>
      <c r="C18" s="25">
        <v>6669.2307692307695</v>
      </c>
      <c r="D18" s="25">
        <v>86700</v>
      </c>
      <c r="E18" s="21">
        <v>97.769230769230774</v>
      </c>
    </row>
    <row r="19" spans="1:5" x14ac:dyDescent="0.3">
      <c r="A19" t="s">
        <v>13</v>
      </c>
      <c r="B19">
        <v>7</v>
      </c>
      <c r="C19" s="25">
        <v>5742.8571428571431</v>
      </c>
      <c r="D19" s="25">
        <v>40200</v>
      </c>
      <c r="E19" s="21">
        <v>73.714285714285708</v>
      </c>
    </row>
    <row r="20" spans="1:5" x14ac:dyDescent="0.3">
      <c r="A20" t="s">
        <v>17</v>
      </c>
      <c r="B20">
        <v>5</v>
      </c>
      <c r="C20" s="25">
        <v>3640</v>
      </c>
      <c r="D20" s="25">
        <v>18200</v>
      </c>
      <c r="E20" s="21">
        <v>30</v>
      </c>
    </row>
    <row r="21" spans="1:5" x14ac:dyDescent="0.3">
      <c r="A21" t="s">
        <v>24</v>
      </c>
      <c r="B21">
        <v>8</v>
      </c>
      <c r="C21" s="25">
        <v>2600</v>
      </c>
      <c r="D21" s="25">
        <v>20800</v>
      </c>
      <c r="E21" s="21">
        <v>33</v>
      </c>
    </row>
    <row r="22" spans="1:5" x14ac:dyDescent="0.3">
      <c r="A22" t="s">
        <v>20</v>
      </c>
      <c r="B22">
        <v>11</v>
      </c>
      <c r="C22" s="25">
        <v>3600</v>
      </c>
      <c r="D22" s="25">
        <v>39600</v>
      </c>
      <c r="E22" s="21">
        <v>31</v>
      </c>
    </row>
    <row r="23" spans="1:5" x14ac:dyDescent="0.3">
      <c r="A23" t="s">
        <v>21</v>
      </c>
      <c r="B23">
        <v>17</v>
      </c>
      <c r="C23" s="25">
        <v>9652.9411764705874</v>
      </c>
      <c r="D23" s="25">
        <v>164100</v>
      </c>
      <c r="E23" s="21">
        <v>81.058823529411768</v>
      </c>
    </row>
    <row r="24" spans="1:5" x14ac:dyDescent="0.3">
      <c r="A24" t="s">
        <v>27</v>
      </c>
      <c r="B24">
        <v>12</v>
      </c>
      <c r="C24" s="25">
        <v>8041.666666666667</v>
      </c>
      <c r="D24" s="25">
        <v>96500</v>
      </c>
      <c r="E24" s="21">
        <v>67.333333333333329</v>
      </c>
    </row>
    <row r="25" spans="1:5" x14ac:dyDescent="0.3">
      <c r="A25" t="s">
        <v>29</v>
      </c>
      <c r="B25">
        <v>7</v>
      </c>
      <c r="C25" s="25">
        <v>8728.5714285714294</v>
      </c>
      <c r="D25" s="25">
        <v>61100</v>
      </c>
      <c r="E25" s="21">
        <v>81.571428571428569</v>
      </c>
    </row>
    <row r="26" spans="1:5" x14ac:dyDescent="0.3">
      <c r="A26" t="s">
        <v>22</v>
      </c>
      <c r="B26">
        <v>13</v>
      </c>
      <c r="C26" s="25">
        <v>8930.7692307692305</v>
      </c>
      <c r="D26" s="25">
        <v>116100</v>
      </c>
      <c r="E26" s="21">
        <v>69</v>
      </c>
    </row>
    <row r="27" spans="1:5" x14ac:dyDescent="0.3">
      <c r="A27" t="s">
        <v>15</v>
      </c>
      <c r="B27">
        <v>11</v>
      </c>
      <c r="C27" s="25">
        <v>5281.818181818182</v>
      </c>
      <c r="D27" s="25">
        <v>58100</v>
      </c>
      <c r="E27" s="21">
        <v>94.36363636363636</v>
      </c>
    </row>
    <row r="28" spans="1:5" x14ac:dyDescent="0.3">
      <c r="A28" t="s">
        <v>23</v>
      </c>
      <c r="B28">
        <v>6</v>
      </c>
      <c r="C28" s="25">
        <v>6066.666666666667</v>
      </c>
      <c r="D28" s="25">
        <v>36400</v>
      </c>
      <c r="E28" s="21">
        <v>78.333333333333329</v>
      </c>
    </row>
    <row r="29" spans="1:5" x14ac:dyDescent="0.3">
      <c r="A29" t="s">
        <v>11</v>
      </c>
      <c r="B29">
        <v>7</v>
      </c>
      <c r="C29" s="25">
        <v>6342.8571428571431</v>
      </c>
      <c r="D29" s="25">
        <v>44400</v>
      </c>
      <c r="E29" s="21">
        <v>81.571428571428569</v>
      </c>
    </row>
    <row r="30" spans="1:5" x14ac:dyDescent="0.3">
      <c r="A30" t="s">
        <v>34</v>
      </c>
      <c r="B30" s="21">
        <v>157</v>
      </c>
      <c r="C30" s="21">
        <v>6440.127388535032</v>
      </c>
      <c r="D30" s="21">
        <v>1011100</v>
      </c>
      <c r="E30" s="21">
        <v>81.585987261146499</v>
      </c>
    </row>
  </sheetData>
  <mergeCells count="2">
    <mergeCell ref="A1:D1"/>
    <mergeCell ref="A11: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9"/>
  <sheetViews>
    <sheetView workbookViewId="0">
      <pane ySplit="2" topLeftCell="A9" activePane="bottomLeft" state="frozen"/>
      <selection pane="bottomLeft" activeCell="G9" sqref="G9"/>
    </sheetView>
  </sheetViews>
  <sheetFormatPr defaultRowHeight="14.4" x14ac:dyDescent="0.3"/>
  <cols>
    <col min="1" max="1" width="8" customWidth="1"/>
    <col min="2" max="2" width="14" customWidth="1"/>
    <col min="3" max="3" width="10" customWidth="1"/>
    <col min="4" max="4" width="12" customWidth="1"/>
    <col min="5" max="5" width="12.33203125" bestFit="1" customWidth="1"/>
    <col min="6" max="6" width="16.44140625" bestFit="1" customWidth="1"/>
    <col min="7" max="7" width="18.44140625" customWidth="1"/>
  </cols>
  <sheetData>
    <row r="1" spans="1:7" ht="19.8" x14ac:dyDescent="0.4">
      <c r="A1" s="48" t="s">
        <v>0</v>
      </c>
      <c r="B1" s="48"/>
      <c r="C1" s="48"/>
      <c r="D1" s="48"/>
      <c r="E1" s="48"/>
      <c r="F1" s="48"/>
      <c r="G1" s="48"/>
    </row>
    <row r="2" spans="1:7" x14ac:dyDescent="0.3">
      <c r="A2" s="9" t="s">
        <v>1</v>
      </c>
      <c r="B2" s="10" t="s">
        <v>2</v>
      </c>
      <c r="C2" s="10" t="s">
        <v>3</v>
      </c>
      <c r="D2" s="10" t="s">
        <v>4</v>
      </c>
      <c r="E2" s="10" t="s">
        <v>5</v>
      </c>
      <c r="F2" s="10" t="s">
        <v>6</v>
      </c>
      <c r="G2" s="11" t="s">
        <v>7</v>
      </c>
    </row>
    <row r="3" spans="1:7" x14ac:dyDescent="0.3">
      <c r="A3" s="7">
        <v>4521</v>
      </c>
      <c r="B3" s="1" t="s">
        <v>8</v>
      </c>
      <c r="C3" s="2">
        <v>4900</v>
      </c>
      <c r="D3" s="1" t="s">
        <v>9</v>
      </c>
      <c r="E3" s="3">
        <v>45659</v>
      </c>
      <c r="F3" s="3">
        <v>45815</v>
      </c>
      <c r="G3" s="16">
        <f>F3-E3</f>
        <v>156</v>
      </c>
    </row>
    <row r="4" spans="1:7" x14ac:dyDescent="0.3">
      <c r="A4" s="8">
        <v>4522</v>
      </c>
      <c r="B4" s="4" t="s">
        <v>10</v>
      </c>
      <c r="C4" s="5">
        <v>2500</v>
      </c>
      <c r="D4" s="4" t="s">
        <v>9</v>
      </c>
      <c r="E4" s="6">
        <v>45665</v>
      </c>
      <c r="F4" s="6">
        <v>45793</v>
      </c>
      <c r="G4" s="17">
        <f t="shared" ref="G4:G67" si="0">F4-E4</f>
        <v>128</v>
      </c>
    </row>
    <row r="5" spans="1:7" x14ac:dyDescent="0.3">
      <c r="A5" s="7">
        <v>4523</v>
      </c>
      <c r="B5" s="1" t="s">
        <v>11</v>
      </c>
      <c r="C5" s="2">
        <v>7200</v>
      </c>
      <c r="D5" s="1" t="s">
        <v>12</v>
      </c>
      <c r="E5" s="3">
        <v>45666</v>
      </c>
      <c r="F5" s="3">
        <v>45711</v>
      </c>
      <c r="G5" s="18">
        <f t="shared" si="0"/>
        <v>45</v>
      </c>
    </row>
    <row r="6" spans="1:7" x14ac:dyDescent="0.3">
      <c r="A6" s="8">
        <v>4524</v>
      </c>
      <c r="B6" s="4" t="s">
        <v>13</v>
      </c>
      <c r="C6" s="5">
        <v>6800</v>
      </c>
      <c r="D6" s="4" t="s">
        <v>14</v>
      </c>
      <c r="E6" s="6">
        <v>45667</v>
      </c>
      <c r="F6" s="6">
        <v>45722</v>
      </c>
      <c r="G6" s="19">
        <f t="shared" si="0"/>
        <v>55</v>
      </c>
    </row>
    <row r="7" spans="1:7" x14ac:dyDescent="0.3">
      <c r="A7" s="7">
        <v>4525</v>
      </c>
      <c r="B7" s="1" t="s">
        <v>15</v>
      </c>
      <c r="C7" s="2">
        <v>6000</v>
      </c>
      <c r="D7" s="1" t="s">
        <v>16</v>
      </c>
      <c r="E7" s="3">
        <v>45671</v>
      </c>
      <c r="F7" s="3">
        <v>45751</v>
      </c>
      <c r="G7" s="18">
        <f t="shared" si="0"/>
        <v>80</v>
      </c>
    </row>
    <row r="8" spans="1:7" x14ac:dyDescent="0.3">
      <c r="A8" s="8">
        <v>4526</v>
      </c>
      <c r="B8" s="4" t="s">
        <v>17</v>
      </c>
      <c r="C8" s="5">
        <v>3400</v>
      </c>
      <c r="D8" s="4" t="s">
        <v>18</v>
      </c>
      <c r="E8" s="6">
        <v>45673</v>
      </c>
      <c r="F8" s="6">
        <v>45689</v>
      </c>
      <c r="G8" s="19">
        <f t="shared" si="0"/>
        <v>16</v>
      </c>
    </row>
    <row r="9" spans="1:7" x14ac:dyDescent="0.3">
      <c r="A9" s="7">
        <v>4527</v>
      </c>
      <c r="B9" s="1" t="s">
        <v>19</v>
      </c>
      <c r="C9" s="2">
        <v>8400</v>
      </c>
      <c r="D9" s="1" t="s">
        <v>14</v>
      </c>
      <c r="E9" s="3">
        <v>45675</v>
      </c>
      <c r="F9" s="3">
        <v>45759</v>
      </c>
      <c r="G9" s="18">
        <f t="shared" si="0"/>
        <v>84</v>
      </c>
    </row>
    <row r="10" spans="1:7" x14ac:dyDescent="0.3">
      <c r="A10" s="8">
        <v>4529</v>
      </c>
      <c r="B10" s="4" t="s">
        <v>20</v>
      </c>
      <c r="C10" s="5">
        <v>4400</v>
      </c>
      <c r="D10" s="4" t="s">
        <v>18</v>
      </c>
      <c r="E10" s="6">
        <v>45676</v>
      </c>
      <c r="F10" s="6">
        <v>45693</v>
      </c>
      <c r="G10" s="19">
        <f t="shared" si="0"/>
        <v>17</v>
      </c>
    </row>
    <row r="11" spans="1:7" x14ac:dyDescent="0.3">
      <c r="A11" s="7">
        <v>4531</v>
      </c>
      <c r="B11" s="1" t="s">
        <v>8</v>
      </c>
      <c r="C11" s="2">
        <v>2500</v>
      </c>
      <c r="D11" s="1" t="s">
        <v>9</v>
      </c>
      <c r="E11" s="3">
        <v>45684</v>
      </c>
      <c r="F11" s="3">
        <v>45761</v>
      </c>
      <c r="G11" s="18">
        <f t="shared" si="0"/>
        <v>77</v>
      </c>
    </row>
    <row r="12" spans="1:7" x14ac:dyDescent="0.3">
      <c r="A12" s="8">
        <v>4532</v>
      </c>
      <c r="B12" s="4" t="s">
        <v>21</v>
      </c>
      <c r="C12" s="5">
        <v>9600</v>
      </c>
      <c r="D12" s="4" t="s">
        <v>16</v>
      </c>
      <c r="E12" s="6">
        <v>45685</v>
      </c>
      <c r="F12" s="6">
        <v>45761</v>
      </c>
      <c r="G12" s="19">
        <f t="shared" si="0"/>
        <v>76</v>
      </c>
    </row>
    <row r="13" spans="1:7" x14ac:dyDescent="0.3">
      <c r="A13" s="7">
        <v>4533</v>
      </c>
      <c r="B13" s="1" t="s">
        <v>13</v>
      </c>
      <c r="C13" s="2">
        <v>8100</v>
      </c>
      <c r="D13" s="1" t="s">
        <v>14</v>
      </c>
      <c r="E13" s="3">
        <v>45686</v>
      </c>
      <c r="F13" s="3">
        <v>45753</v>
      </c>
      <c r="G13" s="18">
        <f t="shared" si="0"/>
        <v>67</v>
      </c>
    </row>
    <row r="14" spans="1:7" x14ac:dyDescent="0.3">
      <c r="A14" s="8">
        <v>4534</v>
      </c>
      <c r="B14" s="4" t="s">
        <v>22</v>
      </c>
      <c r="C14" s="5">
        <v>9600</v>
      </c>
      <c r="D14" s="4" t="s">
        <v>16</v>
      </c>
      <c r="E14" s="6">
        <v>45688</v>
      </c>
      <c r="F14" s="6">
        <v>45761</v>
      </c>
      <c r="G14" s="19">
        <f t="shared" si="0"/>
        <v>73</v>
      </c>
    </row>
    <row r="15" spans="1:7" x14ac:dyDescent="0.3">
      <c r="A15" s="7">
        <v>4535</v>
      </c>
      <c r="B15" s="1" t="s">
        <v>13</v>
      </c>
      <c r="C15" s="2">
        <v>5500</v>
      </c>
      <c r="D15" s="1" t="s">
        <v>14</v>
      </c>
      <c r="E15" s="3">
        <v>45689</v>
      </c>
      <c r="F15" s="3">
        <v>45787</v>
      </c>
      <c r="G15" s="18">
        <f t="shared" si="0"/>
        <v>98</v>
      </c>
    </row>
    <row r="16" spans="1:7" x14ac:dyDescent="0.3">
      <c r="A16" s="8">
        <v>4536</v>
      </c>
      <c r="B16" s="4" t="s">
        <v>23</v>
      </c>
      <c r="C16" s="5">
        <v>3500</v>
      </c>
      <c r="D16" s="4" t="s">
        <v>12</v>
      </c>
      <c r="E16" s="6">
        <v>45690</v>
      </c>
      <c r="F16" s="6">
        <v>45814</v>
      </c>
      <c r="G16" s="19">
        <f t="shared" si="0"/>
        <v>124</v>
      </c>
    </row>
    <row r="17" spans="1:7" x14ac:dyDescent="0.3">
      <c r="A17" s="7">
        <v>4537</v>
      </c>
      <c r="B17" s="1" t="s">
        <v>10</v>
      </c>
      <c r="C17" s="2">
        <v>4100</v>
      </c>
      <c r="D17" s="1" t="s">
        <v>9</v>
      </c>
      <c r="E17" s="3">
        <v>45691</v>
      </c>
      <c r="F17" s="3">
        <v>45860</v>
      </c>
      <c r="G17" s="18">
        <f t="shared" si="0"/>
        <v>169</v>
      </c>
    </row>
    <row r="18" spans="1:7" x14ac:dyDescent="0.3">
      <c r="A18" s="8">
        <v>4538</v>
      </c>
      <c r="B18" s="4" t="s">
        <v>22</v>
      </c>
      <c r="C18" s="5">
        <v>10800</v>
      </c>
      <c r="D18" s="4" t="s">
        <v>18</v>
      </c>
      <c r="E18" s="6">
        <v>45695</v>
      </c>
      <c r="F18" s="6">
        <v>45716</v>
      </c>
      <c r="G18" s="19">
        <f t="shared" si="0"/>
        <v>21</v>
      </c>
    </row>
    <row r="19" spans="1:7" x14ac:dyDescent="0.3">
      <c r="A19" s="7">
        <v>4539</v>
      </c>
      <c r="B19" s="1" t="s">
        <v>19</v>
      </c>
      <c r="C19" s="2">
        <v>9000</v>
      </c>
      <c r="D19" s="1" t="s">
        <v>14</v>
      </c>
      <c r="E19" s="3">
        <v>45697</v>
      </c>
      <c r="F19" s="3">
        <v>45782</v>
      </c>
      <c r="G19" s="18">
        <f t="shared" si="0"/>
        <v>85</v>
      </c>
    </row>
    <row r="20" spans="1:7" x14ac:dyDescent="0.3">
      <c r="A20" s="8">
        <v>4541</v>
      </c>
      <c r="B20" s="4" t="s">
        <v>21</v>
      </c>
      <c r="C20" s="5">
        <v>10000</v>
      </c>
      <c r="D20" s="4" t="s">
        <v>16</v>
      </c>
      <c r="E20" s="6">
        <v>45698</v>
      </c>
      <c r="F20" s="6">
        <v>45803</v>
      </c>
      <c r="G20" s="19">
        <f t="shared" si="0"/>
        <v>105</v>
      </c>
    </row>
    <row r="21" spans="1:7" x14ac:dyDescent="0.3">
      <c r="A21" s="7">
        <v>4543</v>
      </c>
      <c r="B21" s="1" t="s">
        <v>24</v>
      </c>
      <c r="C21" s="2">
        <v>4300</v>
      </c>
      <c r="D21" s="1" t="s">
        <v>18</v>
      </c>
      <c r="E21" s="3">
        <v>45699</v>
      </c>
      <c r="F21" s="3">
        <v>45723</v>
      </c>
      <c r="G21" s="18">
        <f t="shared" si="0"/>
        <v>24</v>
      </c>
    </row>
    <row r="22" spans="1:7" x14ac:dyDescent="0.3">
      <c r="A22" s="8">
        <v>4545</v>
      </c>
      <c r="B22" s="4" t="s">
        <v>8</v>
      </c>
      <c r="C22" s="5">
        <v>3700</v>
      </c>
      <c r="D22" s="4" t="s">
        <v>9</v>
      </c>
      <c r="E22" s="6">
        <v>45701</v>
      </c>
      <c r="F22" s="6">
        <v>45814</v>
      </c>
      <c r="G22" s="19">
        <f t="shared" si="0"/>
        <v>113</v>
      </c>
    </row>
    <row r="23" spans="1:7" x14ac:dyDescent="0.3">
      <c r="A23" s="7">
        <v>4547</v>
      </c>
      <c r="B23" s="1" t="s">
        <v>8</v>
      </c>
      <c r="C23" s="2">
        <v>4400</v>
      </c>
      <c r="D23" s="1" t="s">
        <v>9</v>
      </c>
      <c r="E23" s="3">
        <v>45702</v>
      </c>
      <c r="F23" s="3">
        <v>45801</v>
      </c>
      <c r="G23" s="18">
        <f t="shared" si="0"/>
        <v>99</v>
      </c>
    </row>
    <row r="24" spans="1:7" x14ac:dyDescent="0.3">
      <c r="A24" s="8">
        <v>4548</v>
      </c>
      <c r="B24" s="4" t="s">
        <v>25</v>
      </c>
      <c r="C24" s="5">
        <v>8800</v>
      </c>
      <c r="D24" s="4" t="s">
        <v>14</v>
      </c>
      <c r="E24" s="6">
        <v>45703</v>
      </c>
      <c r="F24" s="6">
        <v>45841</v>
      </c>
      <c r="G24" s="19">
        <f t="shared" si="0"/>
        <v>138</v>
      </c>
    </row>
    <row r="25" spans="1:7" x14ac:dyDescent="0.3">
      <c r="A25" s="7">
        <v>4549</v>
      </c>
      <c r="B25" s="1" t="s">
        <v>24</v>
      </c>
      <c r="C25" s="2">
        <v>3100</v>
      </c>
      <c r="D25" s="1" t="s">
        <v>18</v>
      </c>
      <c r="E25" s="3">
        <v>45708</v>
      </c>
      <c r="F25" s="3">
        <v>45744</v>
      </c>
      <c r="G25" s="18">
        <f t="shared" si="0"/>
        <v>36</v>
      </c>
    </row>
    <row r="26" spans="1:7" x14ac:dyDescent="0.3">
      <c r="A26" s="8">
        <v>4550</v>
      </c>
      <c r="B26" s="4" t="s">
        <v>26</v>
      </c>
      <c r="C26" s="5">
        <v>3200</v>
      </c>
      <c r="D26" s="4" t="s">
        <v>9</v>
      </c>
      <c r="E26" s="6">
        <v>45709</v>
      </c>
      <c r="F26" s="6">
        <v>45833</v>
      </c>
      <c r="G26" s="19">
        <f t="shared" si="0"/>
        <v>124</v>
      </c>
    </row>
    <row r="27" spans="1:7" x14ac:dyDescent="0.3">
      <c r="A27" s="7">
        <v>4551</v>
      </c>
      <c r="B27" s="1" t="s">
        <v>22</v>
      </c>
      <c r="C27" s="2">
        <v>8700</v>
      </c>
      <c r="D27" s="1" t="s">
        <v>16</v>
      </c>
      <c r="E27" s="3">
        <v>45714</v>
      </c>
      <c r="F27" s="3">
        <v>45755</v>
      </c>
      <c r="G27" s="18">
        <f t="shared" si="0"/>
        <v>41</v>
      </c>
    </row>
    <row r="28" spans="1:7" x14ac:dyDescent="0.3">
      <c r="A28" s="8">
        <v>4552</v>
      </c>
      <c r="B28" s="4" t="s">
        <v>19</v>
      </c>
      <c r="C28" s="5">
        <v>7200</v>
      </c>
      <c r="D28" s="4" t="s">
        <v>14</v>
      </c>
      <c r="E28" s="6">
        <v>45715</v>
      </c>
      <c r="F28" s="6">
        <v>45844</v>
      </c>
      <c r="G28" s="19">
        <f t="shared" si="0"/>
        <v>129</v>
      </c>
    </row>
    <row r="29" spans="1:7" x14ac:dyDescent="0.3">
      <c r="A29" s="7">
        <v>4554</v>
      </c>
      <c r="B29" s="1" t="s">
        <v>27</v>
      </c>
      <c r="C29" s="2">
        <v>6100</v>
      </c>
      <c r="D29" s="1" t="s">
        <v>16</v>
      </c>
      <c r="E29" s="3">
        <v>45718</v>
      </c>
      <c r="F29" s="3">
        <v>45814</v>
      </c>
      <c r="G29" s="18">
        <f t="shared" si="0"/>
        <v>96</v>
      </c>
    </row>
    <row r="30" spans="1:7" x14ac:dyDescent="0.3">
      <c r="A30" s="8">
        <v>4555</v>
      </c>
      <c r="B30" s="4" t="s">
        <v>26</v>
      </c>
      <c r="C30" s="5">
        <v>7400</v>
      </c>
      <c r="D30" s="4" t="s">
        <v>9</v>
      </c>
      <c r="E30" s="6">
        <v>45724</v>
      </c>
      <c r="F30" s="6">
        <v>45852</v>
      </c>
      <c r="G30" s="19">
        <f t="shared" si="0"/>
        <v>128</v>
      </c>
    </row>
    <row r="31" spans="1:7" x14ac:dyDescent="0.3">
      <c r="A31" s="7">
        <v>4556</v>
      </c>
      <c r="B31" s="1" t="s">
        <v>20</v>
      </c>
      <c r="C31" s="2">
        <v>4500</v>
      </c>
      <c r="D31" s="1" t="s">
        <v>18</v>
      </c>
      <c r="E31" s="3">
        <v>45725</v>
      </c>
      <c r="F31" s="3">
        <v>45739</v>
      </c>
      <c r="G31" s="18">
        <f t="shared" si="0"/>
        <v>14</v>
      </c>
    </row>
    <row r="32" spans="1:7" x14ac:dyDescent="0.3">
      <c r="A32" s="8">
        <v>4558</v>
      </c>
      <c r="B32" s="4" t="s">
        <v>27</v>
      </c>
      <c r="C32" s="5">
        <v>8500</v>
      </c>
      <c r="D32" s="4" t="s">
        <v>16</v>
      </c>
      <c r="E32" s="6">
        <v>45733</v>
      </c>
      <c r="F32" s="6">
        <v>45832</v>
      </c>
      <c r="G32" s="19">
        <f t="shared" si="0"/>
        <v>99</v>
      </c>
    </row>
    <row r="33" spans="1:7" x14ac:dyDescent="0.3">
      <c r="A33" s="7">
        <v>4559</v>
      </c>
      <c r="B33" s="1" t="s">
        <v>20</v>
      </c>
      <c r="C33" s="2">
        <v>4900</v>
      </c>
      <c r="D33" s="1" t="s">
        <v>18</v>
      </c>
      <c r="E33" s="3">
        <v>45734</v>
      </c>
      <c r="F33" s="3">
        <v>45752</v>
      </c>
      <c r="G33" s="18">
        <f t="shared" si="0"/>
        <v>18</v>
      </c>
    </row>
    <row r="34" spans="1:7" x14ac:dyDescent="0.3">
      <c r="A34" s="8">
        <v>4560</v>
      </c>
      <c r="B34" s="4" t="s">
        <v>25</v>
      </c>
      <c r="C34" s="5">
        <v>6300</v>
      </c>
      <c r="D34" s="4" t="s">
        <v>14</v>
      </c>
      <c r="E34" s="6">
        <v>45735</v>
      </c>
      <c r="F34" s="6">
        <v>45790</v>
      </c>
      <c r="G34" s="19">
        <f t="shared" si="0"/>
        <v>55</v>
      </c>
    </row>
    <row r="35" spans="1:7" x14ac:dyDescent="0.3">
      <c r="A35" s="7">
        <v>4561</v>
      </c>
      <c r="B35" s="1" t="s">
        <v>21</v>
      </c>
      <c r="C35" s="2">
        <v>11500</v>
      </c>
      <c r="D35" s="1" t="s">
        <v>16</v>
      </c>
      <c r="E35" s="3">
        <v>45736</v>
      </c>
      <c r="F35" s="3">
        <v>45797</v>
      </c>
      <c r="G35" s="18">
        <f t="shared" si="0"/>
        <v>61</v>
      </c>
    </row>
    <row r="36" spans="1:7" x14ac:dyDescent="0.3">
      <c r="A36" s="8">
        <v>4562</v>
      </c>
      <c r="B36" s="4" t="s">
        <v>13</v>
      </c>
      <c r="C36" s="5">
        <v>4200</v>
      </c>
      <c r="D36" s="4" t="s">
        <v>14</v>
      </c>
      <c r="E36" s="6">
        <v>45737</v>
      </c>
      <c r="F36" s="6">
        <v>45809</v>
      </c>
      <c r="G36" s="19">
        <f t="shared" si="0"/>
        <v>72</v>
      </c>
    </row>
    <row r="37" spans="1:7" x14ac:dyDescent="0.3">
      <c r="A37" s="7">
        <v>4563</v>
      </c>
      <c r="B37" s="1" t="s">
        <v>22</v>
      </c>
      <c r="C37" s="2">
        <v>11400</v>
      </c>
      <c r="D37" s="1" t="s">
        <v>16</v>
      </c>
      <c r="E37" s="3">
        <v>45739</v>
      </c>
      <c r="F37" s="3">
        <v>45797</v>
      </c>
      <c r="G37" s="18">
        <f t="shared" si="0"/>
        <v>58</v>
      </c>
    </row>
    <row r="38" spans="1:7" x14ac:dyDescent="0.3">
      <c r="A38" s="8">
        <v>4564</v>
      </c>
      <c r="B38" s="4" t="s">
        <v>24</v>
      </c>
      <c r="C38" s="5">
        <v>1700</v>
      </c>
      <c r="D38" s="4" t="s">
        <v>18</v>
      </c>
      <c r="E38" s="6">
        <v>45740</v>
      </c>
      <c r="F38" s="6">
        <v>45764</v>
      </c>
      <c r="G38" s="19">
        <f t="shared" si="0"/>
        <v>24</v>
      </c>
    </row>
    <row r="39" spans="1:7" x14ac:dyDescent="0.3">
      <c r="A39" s="7">
        <v>4565</v>
      </c>
      <c r="B39" s="1" t="s">
        <v>20</v>
      </c>
      <c r="C39" s="2">
        <v>3100</v>
      </c>
      <c r="D39" s="1" t="s">
        <v>18</v>
      </c>
      <c r="E39" s="3">
        <v>45741</v>
      </c>
      <c r="F39" s="3">
        <v>45780</v>
      </c>
      <c r="G39" s="18">
        <f t="shared" si="0"/>
        <v>39</v>
      </c>
    </row>
    <row r="40" spans="1:7" x14ac:dyDescent="0.3">
      <c r="A40" s="8">
        <v>4566</v>
      </c>
      <c r="B40" s="4" t="s">
        <v>23</v>
      </c>
      <c r="C40" s="5">
        <v>8600</v>
      </c>
      <c r="D40" s="4" t="s">
        <v>12</v>
      </c>
      <c r="E40" s="6">
        <v>45742</v>
      </c>
      <c r="F40" s="6">
        <v>45784</v>
      </c>
      <c r="G40" s="19">
        <f t="shared" si="0"/>
        <v>42</v>
      </c>
    </row>
    <row r="41" spans="1:7" x14ac:dyDescent="0.3">
      <c r="A41" s="7">
        <v>4567</v>
      </c>
      <c r="B41" s="1" t="s">
        <v>24</v>
      </c>
      <c r="C41" s="2">
        <v>2200</v>
      </c>
      <c r="D41" s="1" t="s">
        <v>18</v>
      </c>
      <c r="E41" s="3">
        <v>45745</v>
      </c>
      <c r="F41" s="3">
        <v>45783</v>
      </c>
      <c r="G41" s="18">
        <f t="shared" si="0"/>
        <v>38</v>
      </c>
    </row>
    <row r="42" spans="1:7" x14ac:dyDescent="0.3">
      <c r="A42" s="8">
        <v>4568</v>
      </c>
      <c r="B42" s="4" t="s">
        <v>21</v>
      </c>
      <c r="C42" s="5">
        <v>11400</v>
      </c>
      <c r="D42" s="4" t="s">
        <v>16</v>
      </c>
      <c r="E42" s="6">
        <v>45747</v>
      </c>
      <c r="F42" s="6">
        <v>45808</v>
      </c>
      <c r="G42" s="19">
        <f t="shared" si="0"/>
        <v>61</v>
      </c>
    </row>
    <row r="43" spans="1:7" x14ac:dyDescent="0.3">
      <c r="A43" s="7">
        <v>4569</v>
      </c>
      <c r="B43" s="1" t="s">
        <v>23</v>
      </c>
      <c r="C43" s="2">
        <v>6300</v>
      </c>
      <c r="D43" s="1" t="s">
        <v>12</v>
      </c>
      <c r="E43" s="3">
        <v>45748</v>
      </c>
      <c r="F43" s="3">
        <v>45812</v>
      </c>
      <c r="G43" s="18">
        <f t="shared" si="0"/>
        <v>64</v>
      </c>
    </row>
    <row r="44" spans="1:7" x14ac:dyDescent="0.3">
      <c r="A44" s="8">
        <v>4570</v>
      </c>
      <c r="B44" s="4" t="s">
        <v>21</v>
      </c>
      <c r="C44" s="5">
        <v>9000</v>
      </c>
      <c r="D44" s="4" t="s">
        <v>16</v>
      </c>
      <c r="E44" s="6">
        <v>45749</v>
      </c>
      <c r="F44" s="6">
        <v>45802</v>
      </c>
      <c r="G44" s="19">
        <f t="shared" si="0"/>
        <v>53</v>
      </c>
    </row>
    <row r="45" spans="1:7" x14ac:dyDescent="0.3">
      <c r="A45" s="7">
        <v>4572</v>
      </c>
      <c r="B45" s="1" t="s">
        <v>10</v>
      </c>
      <c r="C45" s="2">
        <v>5600</v>
      </c>
      <c r="D45" s="1" t="s">
        <v>9</v>
      </c>
      <c r="E45" s="3">
        <v>45750</v>
      </c>
      <c r="F45" s="3">
        <v>45835</v>
      </c>
      <c r="G45" s="18">
        <f t="shared" si="0"/>
        <v>85</v>
      </c>
    </row>
    <row r="46" spans="1:7" x14ac:dyDescent="0.3">
      <c r="A46" s="8">
        <v>4573</v>
      </c>
      <c r="B46" s="4" t="s">
        <v>21</v>
      </c>
      <c r="C46" s="5">
        <v>8800</v>
      </c>
      <c r="D46" s="4" t="s">
        <v>16</v>
      </c>
      <c r="E46" s="6">
        <v>45755</v>
      </c>
      <c r="F46" s="6">
        <v>45868</v>
      </c>
      <c r="G46" s="19">
        <f t="shared" si="0"/>
        <v>113</v>
      </c>
    </row>
    <row r="47" spans="1:7" x14ac:dyDescent="0.3">
      <c r="A47" s="7">
        <v>4574</v>
      </c>
      <c r="B47" s="1" t="s">
        <v>20</v>
      </c>
      <c r="C47" s="2">
        <v>1700</v>
      </c>
      <c r="D47" s="1" t="s">
        <v>18</v>
      </c>
      <c r="E47" s="3">
        <v>45756</v>
      </c>
      <c r="F47" s="3">
        <v>45801</v>
      </c>
      <c r="G47" s="18">
        <f t="shared" si="0"/>
        <v>45</v>
      </c>
    </row>
    <row r="48" spans="1:7" x14ac:dyDescent="0.3">
      <c r="A48" s="8">
        <v>4575</v>
      </c>
      <c r="B48" s="4" t="s">
        <v>17</v>
      </c>
      <c r="C48" s="5">
        <v>4200</v>
      </c>
      <c r="D48" s="4" t="s">
        <v>18</v>
      </c>
      <c r="E48" s="6">
        <v>45759</v>
      </c>
      <c r="F48" s="6">
        <v>45788</v>
      </c>
      <c r="G48" s="19">
        <f t="shared" si="0"/>
        <v>29</v>
      </c>
    </row>
    <row r="49" spans="1:7" x14ac:dyDescent="0.3">
      <c r="A49" s="7">
        <v>4576</v>
      </c>
      <c r="B49" s="1" t="s">
        <v>20</v>
      </c>
      <c r="C49" s="2">
        <v>2400</v>
      </c>
      <c r="D49" s="1" t="s">
        <v>18</v>
      </c>
      <c r="E49" s="3">
        <v>45761</v>
      </c>
      <c r="F49" s="3">
        <v>45806</v>
      </c>
      <c r="G49" s="18">
        <f t="shared" si="0"/>
        <v>45</v>
      </c>
    </row>
    <row r="50" spans="1:7" x14ac:dyDescent="0.3">
      <c r="A50" s="8">
        <v>4577</v>
      </c>
      <c r="B50" s="4" t="s">
        <v>21</v>
      </c>
      <c r="C50" s="5">
        <v>6300</v>
      </c>
      <c r="D50" s="4" t="s">
        <v>16</v>
      </c>
      <c r="E50" s="6">
        <v>45762</v>
      </c>
      <c r="F50" s="6">
        <v>45842</v>
      </c>
      <c r="G50" s="19">
        <f t="shared" si="0"/>
        <v>80</v>
      </c>
    </row>
    <row r="51" spans="1:7" x14ac:dyDescent="0.3">
      <c r="A51" s="7">
        <v>4578</v>
      </c>
      <c r="B51" s="1" t="s">
        <v>10</v>
      </c>
      <c r="C51" s="2">
        <v>7900</v>
      </c>
      <c r="D51" s="1" t="s">
        <v>9</v>
      </c>
      <c r="E51" s="3">
        <v>45763</v>
      </c>
      <c r="F51" s="3">
        <v>45854</v>
      </c>
      <c r="G51" s="18">
        <f t="shared" si="0"/>
        <v>91</v>
      </c>
    </row>
    <row r="52" spans="1:7" x14ac:dyDescent="0.3">
      <c r="A52" s="8">
        <v>4579</v>
      </c>
      <c r="B52" s="4" t="s">
        <v>25</v>
      </c>
      <c r="C52" s="5">
        <v>5900</v>
      </c>
      <c r="D52" s="4" t="s">
        <v>18</v>
      </c>
      <c r="E52" s="6">
        <v>45764</v>
      </c>
      <c r="F52" s="6">
        <v>45792</v>
      </c>
      <c r="G52" s="19">
        <f t="shared" si="0"/>
        <v>28</v>
      </c>
    </row>
    <row r="53" spans="1:7" x14ac:dyDescent="0.3">
      <c r="A53" s="7">
        <v>4581</v>
      </c>
      <c r="B53" s="1" t="s">
        <v>21</v>
      </c>
      <c r="C53" s="2">
        <v>10100</v>
      </c>
      <c r="D53" s="1" t="s">
        <v>16</v>
      </c>
      <c r="E53" s="3">
        <v>45767</v>
      </c>
      <c r="F53" s="3">
        <v>45816</v>
      </c>
      <c r="G53" s="18">
        <f t="shared" si="0"/>
        <v>49</v>
      </c>
    </row>
    <row r="54" spans="1:7" x14ac:dyDescent="0.3">
      <c r="A54" s="8">
        <v>4583</v>
      </c>
      <c r="B54" s="4" t="s">
        <v>27</v>
      </c>
      <c r="C54" s="5">
        <v>6400</v>
      </c>
      <c r="D54" s="4" t="s">
        <v>16</v>
      </c>
      <c r="E54" s="6">
        <v>45768</v>
      </c>
      <c r="F54" s="6">
        <v>45842</v>
      </c>
      <c r="G54" s="19">
        <f t="shared" si="0"/>
        <v>74</v>
      </c>
    </row>
    <row r="55" spans="1:7" x14ac:dyDescent="0.3">
      <c r="A55" s="7">
        <v>4584</v>
      </c>
      <c r="B55" s="1" t="s">
        <v>8</v>
      </c>
      <c r="C55" s="2">
        <v>4500</v>
      </c>
      <c r="D55" s="1" t="s">
        <v>9</v>
      </c>
      <c r="E55" s="3">
        <v>45772</v>
      </c>
      <c r="F55" s="3">
        <v>45906</v>
      </c>
      <c r="G55" s="18">
        <f t="shared" si="0"/>
        <v>134</v>
      </c>
    </row>
    <row r="56" spans="1:7" x14ac:dyDescent="0.3">
      <c r="A56" s="8">
        <v>4585</v>
      </c>
      <c r="B56" s="4" t="s">
        <v>21</v>
      </c>
      <c r="C56" s="5">
        <v>9400</v>
      </c>
      <c r="D56" s="4" t="s">
        <v>16</v>
      </c>
      <c r="E56" s="6">
        <v>45773</v>
      </c>
      <c r="F56" s="6">
        <v>45861</v>
      </c>
      <c r="G56" s="19">
        <f t="shared" si="0"/>
        <v>88</v>
      </c>
    </row>
    <row r="57" spans="1:7" x14ac:dyDescent="0.3">
      <c r="A57" s="7">
        <v>4587</v>
      </c>
      <c r="B57" s="1" t="s">
        <v>25</v>
      </c>
      <c r="C57" s="2">
        <v>7700</v>
      </c>
      <c r="D57" s="1" t="s">
        <v>14</v>
      </c>
      <c r="E57" s="3">
        <v>45774</v>
      </c>
      <c r="F57" s="3">
        <v>45897</v>
      </c>
      <c r="G57" s="18">
        <f t="shared" si="0"/>
        <v>123</v>
      </c>
    </row>
    <row r="58" spans="1:7" x14ac:dyDescent="0.3">
      <c r="A58" s="8">
        <v>4588</v>
      </c>
      <c r="B58" s="4" t="s">
        <v>11</v>
      </c>
      <c r="C58" s="5">
        <v>7700</v>
      </c>
      <c r="D58" s="4" t="s">
        <v>12</v>
      </c>
      <c r="E58" s="6">
        <v>45776</v>
      </c>
      <c r="F58" s="6">
        <v>45912</v>
      </c>
      <c r="G58" s="19">
        <f t="shared" si="0"/>
        <v>136</v>
      </c>
    </row>
    <row r="59" spans="1:7" x14ac:dyDescent="0.3">
      <c r="A59" s="7">
        <v>4589</v>
      </c>
      <c r="B59" s="1" t="s">
        <v>27</v>
      </c>
      <c r="C59" s="2">
        <v>11500</v>
      </c>
      <c r="D59" s="1" t="s">
        <v>16</v>
      </c>
      <c r="E59" s="3">
        <v>45777</v>
      </c>
      <c r="F59" s="3">
        <v>45835</v>
      </c>
      <c r="G59" s="18">
        <f t="shared" si="0"/>
        <v>58</v>
      </c>
    </row>
    <row r="60" spans="1:7" x14ac:dyDescent="0.3">
      <c r="A60" s="8">
        <v>4590</v>
      </c>
      <c r="B60" s="4" t="s">
        <v>11</v>
      </c>
      <c r="C60" s="5">
        <v>8200</v>
      </c>
      <c r="D60" s="4" t="s">
        <v>12</v>
      </c>
      <c r="E60" s="6">
        <v>45781</v>
      </c>
      <c r="F60" s="6">
        <v>45828</v>
      </c>
      <c r="G60" s="19">
        <f t="shared" si="0"/>
        <v>47</v>
      </c>
    </row>
    <row r="61" spans="1:7" x14ac:dyDescent="0.3">
      <c r="A61" s="7">
        <v>4591</v>
      </c>
      <c r="B61" s="1" t="s">
        <v>19</v>
      </c>
      <c r="C61" s="2">
        <v>6600</v>
      </c>
      <c r="D61" s="1" t="s">
        <v>14</v>
      </c>
      <c r="E61" s="3">
        <v>45782</v>
      </c>
      <c r="F61" s="3">
        <v>45909</v>
      </c>
      <c r="G61" s="18">
        <f t="shared" si="0"/>
        <v>127</v>
      </c>
    </row>
    <row r="62" spans="1:7" x14ac:dyDescent="0.3">
      <c r="A62" s="8">
        <v>4593</v>
      </c>
      <c r="B62" s="4" t="s">
        <v>15</v>
      </c>
      <c r="C62" s="5">
        <v>3400</v>
      </c>
      <c r="D62" s="4" t="s">
        <v>12</v>
      </c>
      <c r="E62" s="6">
        <v>45784</v>
      </c>
      <c r="F62" s="6">
        <v>45877</v>
      </c>
      <c r="G62" s="19">
        <f t="shared" si="0"/>
        <v>93</v>
      </c>
    </row>
    <row r="63" spans="1:7" x14ac:dyDescent="0.3">
      <c r="A63" s="7">
        <v>4594</v>
      </c>
      <c r="B63" s="1" t="s">
        <v>10</v>
      </c>
      <c r="C63" s="2">
        <v>6100</v>
      </c>
      <c r="D63" s="1" t="s">
        <v>9</v>
      </c>
      <c r="E63" s="3">
        <v>45787</v>
      </c>
      <c r="F63" s="3">
        <v>45967</v>
      </c>
      <c r="G63" s="18">
        <f t="shared" si="0"/>
        <v>180</v>
      </c>
    </row>
    <row r="64" spans="1:7" x14ac:dyDescent="0.3">
      <c r="A64" s="8">
        <v>4595</v>
      </c>
      <c r="B64" s="4" t="s">
        <v>10</v>
      </c>
      <c r="C64" s="5">
        <v>5800</v>
      </c>
      <c r="D64" s="4" t="s">
        <v>9</v>
      </c>
      <c r="E64" s="6">
        <v>45788</v>
      </c>
      <c r="F64" s="6">
        <v>45906</v>
      </c>
      <c r="G64" s="19">
        <f t="shared" si="0"/>
        <v>118</v>
      </c>
    </row>
    <row r="65" spans="1:7" x14ac:dyDescent="0.3">
      <c r="A65" s="7">
        <v>4596</v>
      </c>
      <c r="B65" s="1" t="s">
        <v>15</v>
      </c>
      <c r="C65" s="2">
        <v>2200</v>
      </c>
      <c r="D65" s="1" t="s">
        <v>9</v>
      </c>
      <c r="E65" s="3">
        <v>45792</v>
      </c>
      <c r="F65" s="3">
        <v>45940</v>
      </c>
      <c r="G65" s="18">
        <f t="shared" si="0"/>
        <v>148</v>
      </c>
    </row>
    <row r="66" spans="1:7" x14ac:dyDescent="0.3">
      <c r="A66" s="8">
        <v>4598</v>
      </c>
      <c r="B66" s="4" t="s">
        <v>21</v>
      </c>
      <c r="C66" s="5">
        <v>8400</v>
      </c>
      <c r="D66" s="4" t="s">
        <v>16</v>
      </c>
      <c r="E66" s="6">
        <v>45797</v>
      </c>
      <c r="F66" s="6">
        <v>45849</v>
      </c>
      <c r="G66" s="19">
        <f t="shared" si="0"/>
        <v>52</v>
      </c>
    </row>
    <row r="67" spans="1:7" x14ac:dyDescent="0.3">
      <c r="A67" s="7">
        <v>4599</v>
      </c>
      <c r="B67" s="1" t="s">
        <v>25</v>
      </c>
      <c r="C67" s="2">
        <v>4900</v>
      </c>
      <c r="D67" s="1" t="s">
        <v>14</v>
      </c>
      <c r="E67" s="3">
        <v>45799</v>
      </c>
      <c r="F67" s="3">
        <v>45868</v>
      </c>
      <c r="G67" s="18">
        <f t="shared" si="0"/>
        <v>69</v>
      </c>
    </row>
    <row r="68" spans="1:7" x14ac:dyDescent="0.3">
      <c r="A68" s="8">
        <v>4600</v>
      </c>
      <c r="B68" s="4" t="s">
        <v>27</v>
      </c>
      <c r="C68" s="5">
        <v>5500</v>
      </c>
      <c r="D68" s="4" t="s">
        <v>16</v>
      </c>
      <c r="E68" s="6">
        <v>45811</v>
      </c>
      <c r="F68" s="6">
        <v>45853</v>
      </c>
      <c r="G68" s="19">
        <f t="shared" ref="G68:G131" si="1">F68-E68</f>
        <v>42</v>
      </c>
    </row>
    <row r="69" spans="1:7" x14ac:dyDescent="0.3">
      <c r="A69" s="7">
        <v>4601</v>
      </c>
      <c r="B69" s="1" t="s">
        <v>20</v>
      </c>
      <c r="C69" s="2">
        <v>2400</v>
      </c>
      <c r="D69" s="1" t="s">
        <v>18</v>
      </c>
      <c r="E69" s="3">
        <v>45814</v>
      </c>
      <c r="F69" s="3">
        <v>45834</v>
      </c>
      <c r="G69" s="18">
        <f t="shared" si="1"/>
        <v>20</v>
      </c>
    </row>
    <row r="70" spans="1:7" x14ac:dyDescent="0.3">
      <c r="A70" s="8">
        <v>4602</v>
      </c>
      <c r="B70" s="4" t="s">
        <v>8</v>
      </c>
      <c r="C70" s="5">
        <v>2200</v>
      </c>
      <c r="D70" s="4" t="s">
        <v>9</v>
      </c>
      <c r="E70" s="6">
        <v>45815</v>
      </c>
      <c r="F70" s="6">
        <v>45909</v>
      </c>
      <c r="G70" s="19">
        <f t="shared" si="1"/>
        <v>94</v>
      </c>
    </row>
    <row r="71" spans="1:7" x14ac:dyDescent="0.3">
      <c r="A71" s="7">
        <v>4603</v>
      </c>
      <c r="B71" s="1" t="s">
        <v>20</v>
      </c>
      <c r="C71" s="2">
        <v>2500</v>
      </c>
      <c r="D71" s="1" t="s">
        <v>18</v>
      </c>
      <c r="E71" s="3">
        <v>45822</v>
      </c>
      <c r="F71" s="3">
        <v>45868</v>
      </c>
      <c r="G71" s="18">
        <f t="shared" si="1"/>
        <v>46</v>
      </c>
    </row>
    <row r="72" spans="1:7" x14ac:dyDescent="0.3">
      <c r="A72" s="8">
        <v>4605</v>
      </c>
      <c r="B72" s="4" t="s">
        <v>28</v>
      </c>
      <c r="C72" s="5">
        <v>6800</v>
      </c>
      <c r="D72" s="4" t="s">
        <v>9</v>
      </c>
      <c r="E72" s="6">
        <v>45825</v>
      </c>
      <c r="F72" s="6">
        <v>45944</v>
      </c>
      <c r="G72" s="19">
        <f t="shared" si="1"/>
        <v>119</v>
      </c>
    </row>
    <row r="73" spans="1:7" x14ac:dyDescent="0.3">
      <c r="A73" s="7">
        <v>4606</v>
      </c>
      <c r="B73" s="1" t="s">
        <v>15</v>
      </c>
      <c r="C73" s="2">
        <v>8100</v>
      </c>
      <c r="D73" s="1" t="s">
        <v>12</v>
      </c>
      <c r="E73" s="3">
        <v>45826</v>
      </c>
      <c r="F73" s="3">
        <v>45964</v>
      </c>
      <c r="G73" s="18">
        <f t="shared" si="1"/>
        <v>138</v>
      </c>
    </row>
    <row r="74" spans="1:7" x14ac:dyDescent="0.3">
      <c r="A74" s="8">
        <v>4607</v>
      </c>
      <c r="B74" s="4" t="s">
        <v>27</v>
      </c>
      <c r="C74" s="5">
        <v>8500</v>
      </c>
      <c r="D74" s="4" t="s">
        <v>16</v>
      </c>
      <c r="E74" s="6">
        <v>45828</v>
      </c>
      <c r="F74" s="6">
        <v>45940</v>
      </c>
      <c r="G74" s="19">
        <f t="shared" si="1"/>
        <v>112</v>
      </c>
    </row>
    <row r="75" spans="1:7" x14ac:dyDescent="0.3">
      <c r="A75" s="7">
        <v>4608</v>
      </c>
      <c r="B75" s="1" t="s">
        <v>19</v>
      </c>
      <c r="C75" s="2">
        <v>8500</v>
      </c>
      <c r="D75" s="1" t="s">
        <v>14</v>
      </c>
      <c r="E75" s="3">
        <v>45836</v>
      </c>
      <c r="F75" s="3">
        <v>45955</v>
      </c>
      <c r="G75" s="18">
        <f t="shared" si="1"/>
        <v>119</v>
      </c>
    </row>
    <row r="76" spans="1:7" x14ac:dyDescent="0.3">
      <c r="A76" s="8">
        <v>4609</v>
      </c>
      <c r="B76" s="4" t="s">
        <v>10</v>
      </c>
      <c r="C76" s="5">
        <v>7300</v>
      </c>
      <c r="D76" s="4" t="s">
        <v>9</v>
      </c>
      <c r="E76" s="6">
        <v>45837</v>
      </c>
      <c r="F76" s="6">
        <v>45999</v>
      </c>
      <c r="G76" s="19">
        <f t="shared" si="1"/>
        <v>162</v>
      </c>
    </row>
    <row r="77" spans="1:7" x14ac:dyDescent="0.3">
      <c r="A77" s="7">
        <v>4610</v>
      </c>
      <c r="B77" s="1" t="s">
        <v>22</v>
      </c>
      <c r="C77" s="2">
        <v>6400</v>
      </c>
      <c r="D77" s="1" t="s">
        <v>16</v>
      </c>
      <c r="E77" s="3">
        <v>45857</v>
      </c>
      <c r="F77" s="3">
        <v>45906</v>
      </c>
      <c r="G77" s="18">
        <f t="shared" si="1"/>
        <v>49</v>
      </c>
    </row>
    <row r="78" spans="1:7" x14ac:dyDescent="0.3">
      <c r="A78" s="8">
        <v>4611</v>
      </c>
      <c r="B78" s="4" t="s">
        <v>19</v>
      </c>
      <c r="C78" s="5">
        <v>4100</v>
      </c>
      <c r="D78" s="4" t="s">
        <v>14</v>
      </c>
      <c r="E78" s="6">
        <v>45863</v>
      </c>
      <c r="F78" s="6">
        <v>45936</v>
      </c>
      <c r="G78" s="19">
        <f t="shared" si="1"/>
        <v>73</v>
      </c>
    </row>
    <row r="79" spans="1:7" x14ac:dyDescent="0.3">
      <c r="A79" s="7">
        <v>4613</v>
      </c>
      <c r="B79" s="1" t="s">
        <v>26</v>
      </c>
      <c r="C79" s="2">
        <v>7700</v>
      </c>
      <c r="D79" s="1" t="s">
        <v>9</v>
      </c>
      <c r="E79" s="3">
        <v>45865</v>
      </c>
      <c r="F79" s="3">
        <v>46025</v>
      </c>
      <c r="G79" s="18">
        <f t="shared" si="1"/>
        <v>160</v>
      </c>
    </row>
    <row r="80" spans="1:7" x14ac:dyDescent="0.3">
      <c r="A80" s="8">
        <v>4614</v>
      </c>
      <c r="B80" s="4" t="s">
        <v>25</v>
      </c>
      <c r="C80" s="5">
        <v>7400</v>
      </c>
      <c r="D80" s="4" t="s">
        <v>14</v>
      </c>
      <c r="E80" s="6">
        <v>45872</v>
      </c>
      <c r="F80" s="6">
        <v>45966</v>
      </c>
      <c r="G80" s="19">
        <f t="shared" si="1"/>
        <v>94</v>
      </c>
    </row>
    <row r="81" spans="1:7" x14ac:dyDescent="0.3">
      <c r="A81" s="7">
        <v>4615</v>
      </c>
      <c r="B81" s="1" t="s">
        <v>21</v>
      </c>
      <c r="C81" s="2">
        <v>9500</v>
      </c>
      <c r="D81" s="1" t="s">
        <v>16</v>
      </c>
      <c r="E81" s="3">
        <v>45873</v>
      </c>
      <c r="F81" s="3">
        <v>45966</v>
      </c>
      <c r="G81" s="18">
        <f t="shared" si="1"/>
        <v>93</v>
      </c>
    </row>
    <row r="82" spans="1:7" x14ac:dyDescent="0.3">
      <c r="A82" s="8">
        <v>4616</v>
      </c>
      <c r="B82" s="4" t="s">
        <v>27</v>
      </c>
      <c r="C82" s="5">
        <v>5800</v>
      </c>
      <c r="D82" s="4" t="s">
        <v>12</v>
      </c>
      <c r="E82" s="6">
        <v>45878</v>
      </c>
      <c r="F82" s="6">
        <v>45934</v>
      </c>
      <c r="G82" s="19">
        <f t="shared" si="1"/>
        <v>56</v>
      </c>
    </row>
    <row r="83" spans="1:7" x14ac:dyDescent="0.3">
      <c r="A83" s="7">
        <v>4617</v>
      </c>
      <c r="B83" s="1" t="s">
        <v>17</v>
      </c>
      <c r="C83" s="2">
        <v>4000</v>
      </c>
      <c r="D83" s="1" t="s">
        <v>18</v>
      </c>
      <c r="E83" s="3">
        <v>45886</v>
      </c>
      <c r="F83" s="3">
        <v>45923</v>
      </c>
      <c r="G83" s="18">
        <f t="shared" si="1"/>
        <v>37</v>
      </c>
    </row>
    <row r="84" spans="1:7" x14ac:dyDescent="0.3">
      <c r="A84" s="8">
        <v>4618</v>
      </c>
      <c r="B84" s="4" t="s">
        <v>10</v>
      </c>
      <c r="C84" s="5">
        <v>3700</v>
      </c>
      <c r="D84" s="4" t="s">
        <v>9</v>
      </c>
      <c r="E84" s="6">
        <v>45888</v>
      </c>
      <c r="F84" s="6">
        <v>46000</v>
      </c>
      <c r="G84" s="19">
        <f t="shared" si="1"/>
        <v>112</v>
      </c>
    </row>
    <row r="85" spans="1:7" x14ac:dyDescent="0.3">
      <c r="A85" s="7">
        <v>4620</v>
      </c>
      <c r="B85" s="1" t="s">
        <v>21</v>
      </c>
      <c r="C85" s="2">
        <v>8600</v>
      </c>
      <c r="D85" s="1" t="s">
        <v>16</v>
      </c>
      <c r="E85" s="3">
        <v>45894</v>
      </c>
      <c r="F85" s="3">
        <v>45996</v>
      </c>
      <c r="G85" s="18">
        <f t="shared" si="1"/>
        <v>102</v>
      </c>
    </row>
    <row r="86" spans="1:7" x14ac:dyDescent="0.3">
      <c r="A86" s="8">
        <v>4621</v>
      </c>
      <c r="B86" s="4" t="s">
        <v>29</v>
      </c>
      <c r="C86" s="5">
        <v>9500</v>
      </c>
      <c r="D86" s="4" t="s">
        <v>16</v>
      </c>
      <c r="E86" s="6">
        <v>45911</v>
      </c>
      <c r="F86" s="6">
        <v>45992</v>
      </c>
      <c r="G86" s="19">
        <f t="shared" si="1"/>
        <v>81</v>
      </c>
    </row>
    <row r="87" spans="1:7" x14ac:dyDescent="0.3">
      <c r="A87" s="7">
        <v>4622</v>
      </c>
      <c r="B87" s="1" t="s">
        <v>17</v>
      </c>
      <c r="C87" s="2">
        <v>1600</v>
      </c>
      <c r="D87" s="1" t="s">
        <v>18</v>
      </c>
      <c r="E87" s="3">
        <v>45932</v>
      </c>
      <c r="F87" s="3">
        <v>45961</v>
      </c>
      <c r="G87" s="18">
        <f t="shared" si="1"/>
        <v>29</v>
      </c>
    </row>
    <row r="88" spans="1:7" x14ac:dyDescent="0.3">
      <c r="A88" s="8">
        <v>4623</v>
      </c>
      <c r="B88" s="4" t="s">
        <v>23</v>
      </c>
      <c r="C88" s="5">
        <v>6300</v>
      </c>
      <c r="D88" s="4" t="s">
        <v>12</v>
      </c>
      <c r="E88" s="6">
        <v>45942</v>
      </c>
      <c r="F88" s="6">
        <v>45978</v>
      </c>
      <c r="G88" s="19">
        <f t="shared" si="1"/>
        <v>36</v>
      </c>
    </row>
    <row r="89" spans="1:7" x14ac:dyDescent="0.3">
      <c r="A89" s="7">
        <v>4624</v>
      </c>
      <c r="B89" s="1" t="s">
        <v>24</v>
      </c>
      <c r="C89" s="2">
        <v>2600</v>
      </c>
      <c r="D89" s="1" t="s">
        <v>18</v>
      </c>
      <c r="E89" s="3">
        <v>45947</v>
      </c>
      <c r="F89" s="3">
        <v>45971</v>
      </c>
      <c r="G89" s="18">
        <f t="shared" si="1"/>
        <v>24</v>
      </c>
    </row>
    <row r="90" spans="1:7" x14ac:dyDescent="0.3">
      <c r="A90" s="8">
        <v>4626</v>
      </c>
      <c r="B90" s="4" t="s">
        <v>19</v>
      </c>
      <c r="C90" s="5">
        <v>5600</v>
      </c>
      <c r="D90" s="4" t="s">
        <v>14</v>
      </c>
      <c r="E90" s="6">
        <v>45956</v>
      </c>
      <c r="F90" s="6">
        <v>46079</v>
      </c>
      <c r="G90" s="19">
        <f t="shared" si="1"/>
        <v>123</v>
      </c>
    </row>
    <row r="91" spans="1:7" x14ac:dyDescent="0.3">
      <c r="A91" s="7">
        <v>4627</v>
      </c>
      <c r="B91" s="1" t="s">
        <v>8</v>
      </c>
      <c r="C91" s="2">
        <v>5500</v>
      </c>
      <c r="D91" s="1" t="s">
        <v>14</v>
      </c>
      <c r="E91" s="3">
        <v>45968</v>
      </c>
      <c r="F91" s="3">
        <v>46066</v>
      </c>
      <c r="G91" s="18">
        <f t="shared" si="1"/>
        <v>98</v>
      </c>
    </row>
    <row r="92" spans="1:7" x14ac:dyDescent="0.3">
      <c r="A92" s="8">
        <v>4628</v>
      </c>
      <c r="B92" s="4" t="s">
        <v>22</v>
      </c>
      <c r="C92" s="5">
        <v>5400</v>
      </c>
      <c r="D92" s="4" t="s">
        <v>16</v>
      </c>
      <c r="E92" s="6">
        <v>46007</v>
      </c>
      <c r="F92" s="6">
        <v>46064</v>
      </c>
      <c r="G92" s="19">
        <f t="shared" si="1"/>
        <v>57</v>
      </c>
    </row>
    <row r="93" spans="1:7" x14ac:dyDescent="0.3">
      <c r="A93" s="7">
        <v>4629</v>
      </c>
      <c r="B93" s="1" t="s">
        <v>26</v>
      </c>
      <c r="C93" s="2">
        <v>6300</v>
      </c>
      <c r="D93" s="1" t="s">
        <v>9</v>
      </c>
      <c r="E93" s="3">
        <v>46008</v>
      </c>
      <c r="F93" s="3">
        <v>46125</v>
      </c>
      <c r="G93" s="18">
        <f t="shared" si="1"/>
        <v>117</v>
      </c>
    </row>
    <row r="94" spans="1:7" x14ac:dyDescent="0.3">
      <c r="A94" s="8">
        <v>4630</v>
      </c>
      <c r="B94" s="4" t="s">
        <v>24</v>
      </c>
      <c r="C94" s="5">
        <v>2000</v>
      </c>
      <c r="D94" s="4" t="s">
        <v>18</v>
      </c>
      <c r="E94" s="6">
        <v>46009</v>
      </c>
      <c r="F94" s="6">
        <v>46048</v>
      </c>
      <c r="G94" s="19">
        <f t="shared" si="1"/>
        <v>39</v>
      </c>
    </row>
    <row r="95" spans="1:7" x14ac:dyDescent="0.3">
      <c r="A95" s="7">
        <v>4631</v>
      </c>
      <c r="B95" s="1" t="s">
        <v>21</v>
      </c>
      <c r="C95" s="2">
        <v>10700</v>
      </c>
      <c r="D95" s="1" t="s">
        <v>16</v>
      </c>
      <c r="E95" s="3">
        <v>46023</v>
      </c>
      <c r="F95" s="3">
        <v>46135</v>
      </c>
      <c r="G95" s="18">
        <f t="shared" si="1"/>
        <v>112</v>
      </c>
    </row>
    <row r="96" spans="1:7" x14ac:dyDescent="0.3">
      <c r="A96" s="8">
        <v>4632</v>
      </c>
      <c r="B96" s="4" t="s">
        <v>15</v>
      </c>
      <c r="C96" s="5">
        <v>6900</v>
      </c>
      <c r="D96" s="4" t="s">
        <v>12</v>
      </c>
      <c r="E96" s="6">
        <v>46024</v>
      </c>
      <c r="F96" s="6">
        <v>46060</v>
      </c>
      <c r="G96" s="19">
        <f t="shared" si="1"/>
        <v>36</v>
      </c>
    </row>
    <row r="97" spans="1:7" x14ac:dyDescent="0.3">
      <c r="A97" s="7">
        <v>4633</v>
      </c>
      <c r="B97" s="1" t="s">
        <v>20</v>
      </c>
      <c r="C97" s="2">
        <v>4400</v>
      </c>
      <c r="D97" s="1" t="s">
        <v>18</v>
      </c>
      <c r="E97" s="3">
        <v>46027</v>
      </c>
      <c r="F97" s="3">
        <v>46054</v>
      </c>
      <c r="G97" s="18">
        <f t="shared" si="1"/>
        <v>27</v>
      </c>
    </row>
    <row r="98" spans="1:7" x14ac:dyDescent="0.3">
      <c r="A98" s="8">
        <v>4634</v>
      </c>
      <c r="B98" s="4" t="s">
        <v>10</v>
      </c>
      <c r="C98" s="5">
        <v>2800</v>
      </c>
      <c r="D98" s="4" t="s">
        <v>9</v>
      </c>
      <c r="E98" s="6">
        <v>46028</v>
      </c>
      <c r="F98" s="6">
        <v>46145</v>
      </c>
      <c r="G98" s="19">
        <f t="shared" si="1"/>
        <v>117</v>
      </c>
    </row>
    <row r="99" spans="1:7" x14ac:dyDescent="0.3">
      <c r="A99" s="7">
        <v>4636</v>
      </c>
      <c r="B99" s="1" t="s">
        <v>19</v>
      </c>
      <c r="C99" s="2">
        <v>8100</v>
      </c>
      <c r="D99" s="1" t="s">
        <v>14</v>
      </c>
      <c r="E99" s="3">
        <v>46029</v>
      </c>
      <c r="F99" s="3">
        <v>46110</v>
      </c>
      <c r="G99" s="18">
        <f t="shared" si="1"/>
        <v>81</v>
      </c>
    </row>
    <row r="100" spans="1:7" x14ac:dyDescent="0.3">
      <c r="A100" s="8">
        <v>4638</v>
      </c>
      <c r="B100" s="4" t="s">
        <v>15</v>
      </c>
      <c r="C100" s="5">
        <v>8700</v>
      </c>
      <c r="D100" s="4" t="s">
        <v>12</v>
      </c>
      <c r="E100" s="6">
        <v>46033</v>
      </c>
      <c r="F100" s="6">
        <v>46152</v>
      </c>
      <c r="G100" s="19">
        <f t="shared" si="1"/>
        <v>119</v>
      </c>
    </row>
    <row r="101" spans="1:7" x14ac:dyDescent="0.3">
      <c r="A101" s="7">
        <v>4639</v>
      </c>
      <c r="B101" s="1" t="s">
        <v>20</v>
      </c>
      <c r="C101" s="2">
        <v>4600</v>
      </c>
      <c r="D101" s="1" t="s">
        <v>18</v>
      </c>
      <c r="E101" s="3">
        <v>46035</v>
      </c>
      <c r="F101" s="3">
        <v>46078</v>
      </c>
      <c r="G101" s="18">
        <f t="shared" si="1"/>
        <v>43</v>
      </c>
    </row>
    <row r="102" spans="1:7" x14ac:dyDescent="0.3">
      <c r="A102" s="8">
        <v>4641</v>
      </c>
      <c r="B102" s="4" t="s">
        <v>23</v>
      </c>
      <c r="C102" s="5">
        <v>3900</v>
      </c>
      <c r="D102" s="4" t="s">
        <v>12</v>
      </c>
      <c r="E102" s="6">
        <v>46036</v>
      </c>
      <c r="F102" s="6">
        <v>46137</v>
      </c>
      <c r="G102" s="19">
        <f t="shared" si="1"/>
        <v>101</v>
      </c>
    </row>
    <row r="103" spans="1:7" x14ac:dyDescent="0.3">
      <c r="A103" s="7">
        <v>4643</v>
      </c>
      <c r="B103" s="1" t="s">
        <v>29</v>
      </c>
      <c r="C103" s="2">
        <v>9400</v>
      </c>
      <c r="D103" s="1" t="s">
        <v>16</v>
      </c>
      <c r="E103" s="3">
        <v>46041</v>
      </c>
      <c r="F103" s="3">
        <v>46137</v>
      </c>
      <c r="G103" s="18">
        <f t="shared" si="1"/>
        <v>96</v>
      </c>
    </row>
    <row r="104" spans="1:7" x14ac:dyDescent="0.3">
      <c r="A104" s="8">
        <v>4644</v>
      </c>
      <c r="B104" s="4" t="s">
        <v>25</v>
      </c>
      <c r="C104" s="5">
        <v>7900</v>
      </c>
      <c r="D104" s="4" t="s">
        <v>14</v>
      </c>
      <c r="E104" s="6">
        <v>46042</v>
      </c>
      <c r="F104" s="6">
        <v>46108</v>
      </c>
      <c r="G104" s="19">
        <f t="shared" si="1"/>
        <v>66</v>
      </c>
    </row>
    <row r="105" spans="1:7" x14ac:dyDescent="0.3">
      <c r="A105" s="7">
        <v>4645</v>
      </c>
      <c r="B105" s="1" t="s">
        <v>27</v>
      </c>
      <c r="C105" s="2">
        <v>6800</v>
      </c>
      <c r="D105" s="1" t="s">
        <v>18</v>
      </c>
      <c r="E105" s="3">
        <v>46047</v>
      </c>
      <c r="F105" s="3">
        <v>46063</v>
      </c>
      <c r="G105" s="18">
        <f t="shared" si="1"/>
        <v>16</v>
      </c>
    </row>
    <row r="106" spans="1:7" x14ac:dyDescent="0.3">
      <c r="A106" s="8">
        <v>4646</v>
      </c>
      <c r="B106" s="4" t="s">
        <v>10</v>
      </c>
      <c r="C106" s="5">
        <v>3700</v>
      </c>
      <c r="D106" s="4" t="s">
        <v>9</v>
      </c>
      <c r="E106" s="6">
        <v>46048</v>
      </c>
      <c r="F106" s="6">
        <v>46201</v>
      </c>
      <c r="G106" s="19">
        <f t="shared" si="1"/>
        <v>153</v>
      </c>
    </row>
    <row r="107" spans="1:7" x14ac:dyDescent="0.3">
      <c r="A107" s="7">
        <v>4647</v>
      </c>
      <c r="B107" s="1" t="s">
        <v>21</v>
      </c>
      <c r="C107" s="2">
        <v>11900</v>
      </c>
      <c r="D107" s="1" t="s">
        <v>16</v>
      </c>
      <c r="E107" s="3">
        <v>46052</v>
      </c>
      <c r="F107" s="3">
        <v>46132</v>
      </c>
      <c r="G107" s="18">
        <f t="shared" si="1"/>
        <v>80</v>
      </c>
    </row>
    <row r="108" spans="1:7" x14ac:dyDescent="0.3">
      <c r="A108" s="8">
        <v>4648</v>
      </c>
      <c r="B108" s="4" t="s">
        <v>25</v>
      </c>
      <c r="C108" s="5">
        <v>7000</v>
      </c>
      <c r="D108" s="4" t="s">
        <v>14</v>
      </c>
      <c r="E108" s="6">
        <v>46053</v>
      </c>
      <c r="F108" s="6">
        <v>46113</v>
      </c>
      <c r="G108" s="19">
        <f t="shared" si="1"/>
        <v>60</v>
      </c>
    </row>
    <row r="109" spans="1:7" x14ac:dyDescent="0.3">
      <c r="A109" s="7">
        <v>4649</v>
      </c>
      <c r="B109" s="1" t="s">
        <v>15</v>
      </c>
      <c r="C109" s="2">
        <v>7700</v>
      </c>
      <c r="D109" s="1" t="s">
        <v>12</v>
      </c>
      <c r="E109" s="3">
        <v>46054</v>
      </c>
      <c r="F109" s="3">
        <v>46158</v>
      </c>
      <c r="G109" s="18">
        <f t="shared" si="1"/>
        <v>104</v>
      </c>
    </row>
    <row r="110" spans="1:7" x14ac:dyDescent="0.3">
      <c r="A110" s="8">
        <v>4650</v>
      </c>
      <c r="B110" s="4" t="s">
        <v>24</v>
      </c>
      <c r="C110" s="5">
        <v>2000</v>
      </c>
      <c r="D110" s="4" t="s">
        <v>18</v>
      </c>
      <c r="E110" s="6">
        <v>46057</v>
      </c>
      <c r="F110" s="6">
        <v>46098</v>
      </c>
      <c r="G110" s="19">
        <f t="shared" si="1"/>
        <v>41</v>
      </c>
    </row>
    <row r="111" spans="1:7" x14ac:dyDescent="0.3">
      <c r="A111" s="7">
        <v>4651</v>
      </c>
      <c r="B111" s="1" t="s">
        <v>28</v>
      </c>
      <c r="C111" s="2">
        <v>7900</v>
      </c>
      <c r="D111" s="1" t="s">
        <v>9</v>
      </c>
      <c r="E111" s="3">
        <v>46059</v>
      </c>
      <c r="F111" s="3">
        <v>46182</v>
      </c>
      <c r="G111" s="18">
        <f t="shared" si="1"/>
        <v>123</v>
      </c>
    </row>
    <row r="112" spans="1:7" x14ac:dyDescent="0.3">
      <c r="A112" s="8">
        <v>4653</v>
      </c>
      <c r="B112" s="4" t="s">
        <v>22</v>
      </c>
      <c r="C112" s="5">
        <v>11400</v>
      </c>
      <c r="D112" s="4" t="s">
        <v>16</v>
      </c>
      <c r="E112" s="6">
        <v>46061</v>
      </c>
      <c r="F112" s="6">
        <v>46136</v>
      </c>
      <c r="G112" s="19">
        <f t="shared" si="1"/>
        <v>75</v>
      </c>
    </row>
    <row r="113" spans="1:7" x14ac:dyDescent="0.3">
      <c r="A113" s="7">
        <v>4654</v>
      </c>
      <c r="B113" s="1" t="s">
        <v>27</v>
      </c>
      <c r="C113" s="2">
        <v>11100</v>
      </c>
      <c r="D113" s="1" t="s">
        <v>16</v>
      </c>
      <c r="E113" s="3">
        <v>46073</v>
      </c>
      <c r="F113" s="3">
        <v>46119</v>
      </c>
      <c r="G113" s="18">
        <f t="shared" si="1"/>
        <v>46</v>
      </c>
    </row>
    <row r="114" spans="1:7" x14ac:dyDescent="0.3">
      <c r="A114" s="8">
        <v>4655</v>
      </c>
      <c r="B114" s="4" t="s">
        <v>24</v>
      </c>
      <c r="C114" s="5">
        <v>2900</v>
      </c>
      <c r="D114" s="4" t="s">
        <v>18</v>
      </c>
      <c r="E114" s="6">
        <v>46074</v>
      </c>
      <c r="F114" s="6">
        <v>46112</v>
      </c>
      <c r="G114" s="19">
        <f t="shared" si="1"/>
        <v>38</v>
      </c>
    </row>
    <row r="115" spans="1:7" x14ac:dyDescent="0.3">
      <c r="A115" s="7">
        <v>4656</v>
      </c>
      <c r="B115" s="1" t="s">
        <v>15</v>
      </c>
      <c r="C115" s="2">
        <v>2500</v>
      </c>
      <c r="D115" s="1" t="s">
        <v>12</v>
      </c>
      <c r="E115" s="3">
        <v>46077</v>
      </c>
      <c r="F115" s="3">
        <v>46126</v>
      </c>
      <c r="G115" s="18">
        <f t="shared" si="1"/>
        <v>49</v>
      </c>
    </row>
    <row r="116" spans="1:7" x14ac:dyDescent="0.3">
      <c r="A116" s="8">
        <v>4658</v>
      </c>
      <c r="B116" s="4" t="s">
        <v>26</v>
      </c>
      <c r="C116" s="5">
        <v>5000</v>
      </c>
      <c r="D116" s="4" t="s">
        <v>9</v>
      </c>
      <c r="E116" s="6">
        <v>46079</v>
      </c>
      <c r="F116" s="6">
        <v>46239</v>
      </c>
      <c r="G116" s="19">
        <f t="shared" si="1"/>
        <v>160</v>
      </c>
    </row>
    <row r="117" spans="1:7" x14ac:dyDescent="0.3">
      <c r="A117" s="7">
        <v>4659</v>
      </c>
      <c r="B117" s="1" t="s">
        <v>19</v>
      </c>
      <c r="C117" s="2">
        <v>5300</v>
      </c>
      <c r="D117" s="1" t="s">
        <v>14</v>
      </c>
      <c r="E117" s="3">
        <v>46080</v>
      </c>
      <c r="F117" s="3">
        <v>46180</v>
      </c>
      <c r="G117" s="18">
        <f t="shared" si="1"/>
        <v>100</v>
      </c>
    </row>
    <row r="118" spans="1:7" x14ac:dyDescent="0.3">
      <c r="A118" s="8">
        <v>4660</v>
      </c>
      <c r="B118" s="4" t="s">
        <v>13</v>
      </c>
      <c r="C118" s="5">
        <v>5900</v>
      </c>
      <c r="D118" s="4" t="s">
        <v>14</v>
      </c>
      <c r="E118" s="6">
        <v>46085</v>
      </c>
      <c r="F118" s="6">
        <v>46168</v>
      </c>
      <c r="G118" s="19">
        <f t="shared" si="1"/>
        <v>83</v>
      </c>
    </row>
    <row r="119" spans="1:7" x14ac:dyDescent="0.3">
      <c r="A119" s="7">
        <v>4662</v>
      </c>
      <c r="B119" s="1" t="s">
        <v>11</v>
      </c>
      <c r="C119" s="2">
        <v>6800</v>
      </c>
      <c r="D119" s="1" t="s">
        <v>12</v>
      </c>
      <c r="E119" s="3">
        <v>46090</v>
      </c>
      <c r="F119" s="3">
        <v>46152</v>
      </c>
      <c r="G119" s="18">
        <f t="shared" si="1"/>
        <v>62</v>
      </c>
    </row>
    <row r="120" spans="1:7" x14ac:dyDescent="0.3">
      <c r="A120" s="8">
        <v>4664</v>
      </c>
      <c r="B120" s="4" t="s">
        <v>15</v>
      </c>
      <c r="C120" s="5">
        <v>5200</v>
      </c>
      <c r="D120" s="4" t="s">
        <v>12</v>
      </c>
      <c r="E120" s="6">
        <v>46093</v>
      </c>
      <c r="F120" s="6">
        <v>46146</v>
      </c>
      <c r="G120" s="19">
        <f t="shared" si="1"/>
        <v>53</v>
      </c>
    </row>
    <row r="121" spans="1:7" x14ac:dyDescent="0.3">
      <c r="A121" s="7">
        <v>4666</v>
      </c>
      <c r="B121" s="1" t="s">
        <v>25</v>
      </c>
      <c r="C121" s="2">
        <v>9000</v>
      </c>
      <c r="D121" s="1" t="s">
        <v>14</v>
      </c>
      <c r="E121" s="3">
        <v>46101</v>
      </c>
      <c r="F121" s="3">
        <v>46154</v>
      </c>
      <c r="G121" s="18">
        <f t="shared" si="1"/>
        <v>53</v>
      </c>
    </row>
    <row r="122" spans="1:7" x14ac:dyDescent="0.3">
      <c r="A122" s="8">
        <v>4667</v>
      </c>
      <c r="B122" s="4" t="s">
        <v>27</v>
      </c>
      <c r="C122" s="5">
        <v>6400</v>
      </c>
      <c r="D122" s="4" t="s">
        <v>16</v>
      </c>
      <c r="E122" s="6">
        <v>46105</v>
      </c>
      <c r="F122" s="6">
        <v>46181</v>
      </c>
      <c r="G122" s="19">
        <f t="shared" si="1"/>
        <v>76</v>
      </c>
    </row>
    <row r="123" spans="1:7" x14ac:dyDescent="0.3">
      <c r="A123" s="7">
        <v>4668</v>
      </c>
      <c r="B123" s="1" t="s">
        <v>21</v>
      </c>
      <c r="C123" s="2">
        <v>9100</v>
      </c>
      <c r="D123" s="1" t="s">
        <v>16</v>
      </c>
      <c r="E123" s="3">
        <v>46107</v>
      </c>
      <c r="F123" s="3">
        <v>46159</v>
      </c>
      <c r="G123" s="18">
        <f t="shared" si="1"/>
        <v>52</v>
      </c>
    </row>
    <row r="124" spans="1:7" x14ac:dyDescent="0.3">
      <c r="A124" s="8">
        <v>4669</v>
      </c>
      <c r="B124" s="4" t="s">
        <v>22</v>
      </c>
      <c r="C124" s="5">
        <v>11000</v>
      </c>
      <c r="D124" s="4" t="s">
        <v>16</v>
      </c>
      <c r="E124" s="6">
        <v>46110</v>
      </c>
      <c r="F124" s="6">
        <v>46215</v>
      </c>
      <c r="G124" s="19">
        <f t="shared" si="1"/>
        <v>105</v>
      </c>
    </row>
    <row r="125" spans="1:7" x14ac:dyDescent="0.3">
      <c r="A125" s="7">
        <v>4670</v>
      </c>
      <c r="B125" s="1" t="s">
        <v>21</v>
      </c>
      <c r="C125" s="2">
        <v>9000</v>
      </c>
      <c r="D125" s="1" t="s">
        <v>14</v>
      </c>
      <c r="E125" s="3">
        <v>46116</v>
      </c>
      <c r="F125" s="3">
        <v>46253</v>
      </c>
      <c r="G125" s="18">
        <f t="shared" si="1"/>
        <v>137</v>
      </c>
    </row>
    <row r="126" spans="1:7" x14ac:dyDescent="0.3">
      <c r="A126" s="8">
        <v>4671</v>
      </c>
      <c r="B126" s="4" t="s">
        <v>26</v>
      </c>
      <c r="C126" s="5">
        <v>3800</v>
      </c>
      <c r="D126" s="4" t="s">
        <v>9</v>
      </c>
      <c r="E126" s="6">
        <v>46118</v>
      </c>
      <c r="F126" s="6">
        <v>46251</v>
      </c>
      <c r="G126" s="19">
        <f t="shared" si="1"/>
        <v>133</v>
      </c>
    </row>
    <row r="127" spans="1:7" x14ac:dyDescent="0.3">
      <c r="A127" s="7">
        <v>4672</v>
      </c>
      <c r="B127" s="1" t="s">
        <v>26</v>
      </c>
      <c r="C127" s="2">
        <v>2600</v>
      </c>
      <c r="D127" s="1" t="s">
        <v>9</v>
      </c>
      <c r="E127" s="3">
        <v>46120</v>
      </c>
      <c r="F127" s="3">
        <v>46226</v>
      </c>
      <c r="G127" s="18">
        <f t="shared" si="1"/>
        <v>106</v>
      </c>
    </row>
    <row r="128" spans="1:7" x14ac:dyDescent="0.3">
      <c r="A128" s="8">
        <v>4673</v>
      </c>
      <c r="B128" s="4" t="s">
        <v>29</v>
      </c>
      <c r="C128" s="5">
        <v>5700</v>
      </c>
      <c r="D128" s="4" t="s">
        <v>16</v>
      </c>
      <c r="E128" s="6">
        <v>46123</v>
      </c>
      <c r="F128" s="6">
        <v>46215</v>
      </c>
      <c r="G128" s="19">
        <f t="shared" si="1"/>
        <v>92</v>
      </c>
    </row>
    <row r="129" spans="1:7" x14ac:dyDescent="0.3">
      <c r="A129" s="7">
        <v>4674</v>
      </c>
      <c r="B129" s="1" t="s">
        <v>25</v>
      </c>
      <c r="C129" s="2">
        <v>6900</v>
      </c>
      <c r="D129" s="1" t="s">
        <v>14</v>
      </c>
      <c r="E129" s="3">
        <v>46127</v>
      </c>
      <c r="F129" s="3">
        <v>46252</v>
      </c>
      <c r="G129" s="18">
        <f t="shared" si="1"/>
        <v>125</v>
      </c>
    </row>
    <row r="130" spans="1:7" x14ac:dyDescent="0.3">
      <c r="A130" s="8">
        <v>4675</v>
      </c>
      <c r="B130" s="4" t="s">
        <v>22</v>
      </c>
      <c r="C130" s="5">
        <v>7500</v>
      </c>
      <c r="D130" s="4" t="s">
        <v>16</v>
      </c>
      <c r="E130" s="6">
        <v>46129</v>
      </c>
      <c r="F130" s="6">
        <v>46225</v>
      </c>
      <c r="G130" s="19">
        <f t="shared" si="1"/>
        <v>96</v>
      </c>
    </row>
    <row r="131" spans="1:7" x14ac:dyDescent="0.3">
      <c r="A131" s="7">
        <v>4676</v>
      </c>
      <c r="B131" s="1" t="s">
        <v>29</v>
      </c>
      <c r="C131" s="2">
        <v>8400</v>
      </c>
      <c r="D131" s="1" t="s">
        <v>16</v>
      </c>
      <c r="E131" s="3">
        <v>46136</v>
      </c>
      <c r="F131" s="3">
        <v>46234</v>
      </c>
      <c r="G131" s="18">
        <f t="shared" si="1"/>
        <v>98</v>
      </c>
    </row>
    <row r="132" spans="1:7" x14ac:dyDescent="0.3">
      <c r="A132" s="8">
        <v>4677</v>
      </c>
      <c r="B132" s="4" t="s">
        <v>22</v>
      </c>
      <c r="C132" s="5">
        <v>5300</v>
      </c>
      <c r="D132" s="4" t="s">
        <v>16</v>
      </c>
      <c r="E132" s="6">
        <v>46137</v>
      </c>
      <c r="F132" s="6">
        <v>46224</v>
      </c>
      <c r="G132" s="19">
        <f t="shared" ref="G132:G159" si="2">F132-E132</f>
        <v>87</v>
      </c>
    </row>
    <row r="133" spans="1:7" x14ac:dyDescent="0.3">
      <c r="A133" s="7">
        <v>4678</v>
      </c>
      <c r="B133" s="1" t="s">
        <v>23</v>
      </c>
      <c r="C133" s="2">
        <v>7800</v>
      </c>
      <c r="D133" s="1" t="s">
        <v>16</v>
      </c>
      <c r="E133" s="3">
        <v>46139</v>
      </c>
      <c r="F133" s="3">
        <v>46242</v>
      </c>
      <c r="G133" s="18">
        <f t="shared" si="2"/>
        <v>103</v>
      </c>
    </row>
    <row r="134" spans="1:7" x14ac:dyDescent="0.3">
      <c r="A134" s="8">
        <v>4680</v>
      </c>
      <c r="B134" s="4" t="s">
        <v>29</v>
      </c>
      <c r="C134" s="5">
        <v>10000</v>
      </c>
      <c r="D134" s="4" t="s">
        <v>18</v>
      </c>
      <c r="E134" s="6">
        <v>46140</v>
      </c>
      <c r="F134" s="6">
        <v>46190</v>
      </c>
      <c r="G134" s="19">
        <f t="shared" si="2"/>
        <v>50</v>
      </c>
    </row>
    <row r="135" spans="1:7" x14ac:dyDescent="0.3">
      <c r="A135" s="7">
        <v>4681</v>
      </c>
      <c r="B135" s="1" t="s">
        <v>11</v>
      </c>
      <c r="C135" s="2">
        <v>3000</v>
      </c>
      <c r="D135" s="1" t="s">
        <v>12</v>
      </c>
      <c r="E135" s="3">
        <v>46141</v>
      </c>
      <c r="F135" s="3">
        <v>46245</v>
      </c>
      <c r="G135" s="18">
        <f t="shared" si="2"/>
        <v>104</v>
      </c>
    </row>
    <row r="136" spans="1:7" x14ac:dyDescent="0.3">
      <c r="A136" s="8">
        <v>4682</v>
      </c>
      <c r="B136" s="4" t="s">
        <v>29</v>
      </c>
      <c r="C136" s="5">
        <v>6400</v>
      </c>
      <c r="D136" s="4" t="s">
        <v>16</v>
      </c>
      <c r="E136" s="6">
        <v>46142</v>
      </c>
      <c r="F136" s="6">
        <v>46208</v>
      </c>
      <c r="G136" s="19">
        <f t="shared" si="2"/>
        <v>66</v>
      </c>
    </row>
    <row r="137" spans="1:7" x14ac:dyDescent="0.3">
      <c r="A137" s="7">
        <v>4683</v>
      </c>
      <c r="B137" s="1" t="s">
        <v>19</v>
      </c>
      <c r="C137" s="2">
        <v>4400</v>
      </c>
      <c r="D137" s="1" t="s">
        <v>14</v>
      </c>
      <c r="E137" s="3">
        <v>46147</v>
      </c>
      <c r="F137" s="3">
        <v>46217</v>
      </c>
      <c r="G137" s="18">
        <f t="shared" si="2"/>
        <v>70</v>
      </c>
    </row>
    <row r="138" spans="1:7" x14ac:dyDescent="0.3">
      <c r="A138" s="8">
        <v>4684</v>
      </c>
      <c r="B138" s="4" t="s">
        <v>19</v>
      </c>
      <c r="C138" s="5">
        <v>8700</v>
      </c>
      <c r="D138" s="4" t="s">
        <v>14</v>
      </c>
      <c r="E138" s="6">
        <v>46154</v>
      </c>
      <c r="F138" s="6">
        <v>46220</v>
      </c>
      <c r="G138" s="19">
        <f t="shared" si="2"/>
        <v>66</v>
      </c>
    </row>
    <row r="139" spans="1:7" x14ac:dyDescent="0.3">
      <c r="A139" s="7">
        <v>4685</v>
      </c>
      <c r="B139" s="1" t="s">
        <v>22</v>
      </c>
      <c r="C139" s="2">
        <v>9100</v>
      </c>
      <c r="D139" s="1" t="s">
        <v>16</v>
      </c>
      <c r="E139" s="3">
        <v>46155</v>
      </c>
      <c r="F139" s="3">
        <v>46263</v>
      </c>
      <c r="G139" s="18">
        <f t="shared" si="2"/>
        <v>108</v>
      </c>
    </row>
    <row r="140" spans="1:7" x14ac:dyDescent="0.3">
      <c r="A140" s="8">
        <v>4686</v>
      </c>
      <c r="B140" s="4" t="s">
        <v>13</v>
      </c>
      <c r="C140" s="5">
        <v>5100</v>
      </c>
      <c r="D140" s="4" t="s">
        <v>14</v>
      </c>
      <c r="E140" s="6">
        <v>46157</v>
      </c>
      <c r="F140" s="6">
        <v>46221</v>
      </c>
      <c r="G140" s="19">
        <f t="shared" si="2"/>
        <v>64</v>
      </c>
    </row>
    <row r="141" spans="1:7" x14ac:dyDescent="0.3">
      <c r="A141" s="7">
        <v>4687</v>
      </c>
      <c r="B141" s="1" t="s">
        <v>27</v>
      </c>
      <c r="C141" s="2">
        <v>9200</v>
      </c>
      <c r="D141" s="1" t="s">
        <v>16</v>
      </c>
      <c r="E141" s="3">
        <v>46165</v>
      </c>
      <c r="F141" s="3">
        <v>46220</v>
      </c>
      <c r="G141" s="18">
        <f t="shared" si="2"/>
        <v>55</v>
      </c>
    </row>
    <row r="142" spans="1:7" x14ac:dyDescent="0.3">
      <c r="A142" s="8">
        <v>4688</v>
      </c>
      <c r="B142" s="4" t="s">
        <v>11</v>
      </c>
      <c r="C142" s="5">
        <v>3200</v>
      </c>
      <c r="D142" s="4" t="s">
        <v>12</v>
      </c>
      <c r="E142" s="6">
        <v>46166</v>
      </c>
      <c r="F142" s="6">
        <v>46272</v>
      </c>
      <c r="G142" s="19">
        <f t="shared" si="2"/>
        <v>106</v>
      </c>
    </row>
    <row r="143" spans="1:7" x14ac:dyDescent="0.3">
      <c r="A143" s="7">
        <v>4689</v>
      </c>
      <c r="B143" s="1" t="s">
        <v>27</v>
      </c>
      <c r="C143" s="2">
        <v>10700</v>
      </c>
      <c r="D143" s="1" t="s">
        <v>16</v>
      </c>
      <c r="E143" s="3">
        <v>46167</v>
      </c>
      <c r="F143" s="3">
        <v>46245</v>
      </c>
      <c r="G143" s="18">
        <f t="shared" si="2"/>
        <v>78</v>
      </c>
    </row>
    <row r="144" spans="1:7" x14ac:dyDescent="0.3">
      <c r="A144" s="8">
        <v>4690</v>
      </c>
      <c r="B144" s="4" t="s">
        <v>20</v>
      </c>
      <c r="C144" s="5">
        <v>4700</v>
      </c>
      <c r="D144" s="4" t="s">
        <v>18</v>
      </c>
      <c r="E144" s="6">
        <v>46169</v>
      </c>
      <c r="F144" s="6">
        <v>46196</v>
      </c>
      <c r="G144" s="19">
        <f t="shared" si="2"/>
        <v>27</v>
      </c>
    </row>
    <row r="145" spans="1:7" x14ac:dyDescent="0.3">
      <c r="A145" s="7">
        <v>4692</v>
      </c>
      <c r="B145" s="1" t="s">
        <v>22</v>
      </c>
      <c r="C145" s="2">
        <v>8400</v>
      </c>
      <c r="D145" s="1" t="s">
        <v>16</v>
      </c>
      <c r="E145" s="3">
        <v>46171</v>
      </c>
      <c r="F145" s="3">
        <v>46225</v>
      </c>
      <c r="G145" s="18">
        <f t="shared" si="2"/>
        <v>54</v>
      </c>
    </row>
    <row r="146" spans="1:7" x14ac:dyDescent="0.3">
      <c r="A146" s="8">
        <v>4693</v>
      </c>
      <c r="B146" s="4" t="s">
        <v>25</v>
      </c>
      <c r="C146" s="5">
        <v>8800</v>
      </c>
      <c r="D146" s="4" t="s">
        <v>14</v>
      </c>
      <c r="E146" s="6">
        <v>46178</v>
      </c>
      <c r="F146" s="6">
        <v>46263</v>
      </c>
      <c r="G146" s="19">
        <f t="shared" si="2"/>
        <v>85</v>
      </c>
    </row>
    <row r="147" spans="1:7" x14ac:dyDescent="0.3">
      <c r="A147" s="7">
        <v>4695</v>
      </c>
      <c r="B147" s="1" t="s">
        <v>15</v>
      </c>
      <c r="C147" s="2">
        <v>3900</v>
      </c>
      <c r="D147" s="1" t="s">
        <v>12</v>
      </c>
      <c r="E147" s="3">
        <v>46182</v>
      </c>
      <c r="F147" s="3">
        <v>46315</v>
      </c>
      <c r="G147" s="18">
        <f t="shared" si="2"/>
        <v>133</v>
      </c>
    </row>
    <row r="148" spans="1:7" x14ac:dyDescent="0.3">
      <c r="A148" s="8">
        <v>4696</v>
      </c>
      <c r="B148" s="4" t="s">
        <v>11</v>
      </c>
      <c r="C148" s="5">
        <v>8300</v>
      </c>
      <c r="D148" s="4" t="s">
        <v>16</v>
      </c>
      <c r="E148" s="6">
        <v>46186</v>
      </c>
      <c r="F148" s="6">
        <v>46257</v>
      </c>
      <c r="G148" s="19">
        <f t="shared" si="2"/>
        <v>71</v>
      </c>
    </row>
    <row r="149" spans="1:7" x14ac:dyDescent="0.3">
      <c r="A149" s="7">
        <v>4697</v>
      </c>
      <c r="B149" s="1" t="s">
        <v>22</v>
      </c>
      <c r="C149" s="2">
        <v>11100</v>
      </c>
      <c r="D149" s="1" t="s">
        <v>16</v>
      </c>
      <c r="E149" s="3">
        <v>46187</v>
      </c>
      <c r="F149" s="3">
        <v>46260</v>
      </c>
      <c r="G149" s="18">
        <f t="shared" si="2"/>
        <v>73</v>
      </c>
    </row>
    <row r="150" spans="1:7" x14ac:dyDescent="0.3">
      <c r="A150" s="8">
        <v>4698</v>
      </c>
      <c r="B150" s="4" t="s">
        <v>28</v>
      </c>
      <c r="C150" s="5">
        <v>7200</v>
      </c>
      <c r="D150" s="4" t="s">
        <v>9</v>
      </c>
      <c r="E150" s="6">
        <v>46188</v>
      </c>
      <c r="F150" s="6">
        <v>46330</v>
      </c>
      <c r="G150" s="19">
        <f t="shared" si="2"/>
        <v>142</v>
      </c>
    </row>
    <row r="151" spans="1:7" x14ac:dyDescent="0.3">
      <c r="A151" s="7">
        <v>4700</v>
      </c>
      <c r="B151" s="1" t="s">
        <v>19</v>
      </c>
      <c r="C151" s="2">
        <v>4300</v>
      </c>
      <c r="D151" s="1" t="s">
        <v>14</v>
      </c>
      <c r="E151" s="3">
        <v>46189</v>
      </c>
      <c r="F151" s="3">
        <v>46279</v>
      </c>
      <c r="G151" s="18">
        <f t="shared" si="2"/>
        <v>90</v>
      </c>
    </row>
    <row r="152" spans="1:7" x14ac:dyDescent="0.3">
      <c r="A152" s="8">
        <v>4701</v>
      </c>
      <c r="B152" s="4" t="s">
        <v>8</v>
      </c>
      <c r="C152" s="5">
        <v>7500</v>
      </c>
      <c r="D152" s="4" t="s">
        <v>9</v>
      </c>
      <c r="E152" s="6">
        <v>46190</v>
      </c>
      <c r="F152" s="6">
        <v>46292</v>
      </c>
      <c r="G152" s="19">
        <f t="shared" si="2"/>
        <v>102</v>
      </c>
    </row>
    <row r="153" spans="1:7" x14ac:dyDescent="0.3">
      <c r="A153" s="7">
        <v>4702</v>
      </c>
      <c r="B153" s="1" t="s">
        <v>26</v>
      </c>
      <c r="C153" s="2">
        <v>5700</v>
      </c>
      <c r="D153" s="1" t="s">
        <v>9</v>
      </c>
      <c r="E153" s="3">
        <v>46191</v>
      </c>
      <c r="F153" s="3">
        <v>46329</v>
      </c>
      <c r="G153" s="18">
        <f t="shared" si="2"/>
        <v>138</v>
      </c>
    </row>
    <row r="154" spans="1:7" x14ac:dyDescent="0.3">
      <c r="A154" s="8">
        <v>4703</v>
      </c>
      <c r="B154" s="4" t="s">
        <v>29</v>
      </c>
      <c r="C154" s="5">
        <v>11700</v>
      </c>
      <c r="D154" s="4" t="s">
        <v>16</v>
      </c>
      <c r="E154" s="6">
        <v>46195</v>
      </c>
      <c r="F154" s="6">
        <v>46283</v>
      </c>
      <c r="G154" s="19">
        <f t="shared" si="2"/>
        <v>88</v>
      </c>
    </row>
    <row r="155" spans="1:7" x14ac:dyDescent="0.3">
      <c r="A155" s="7">
        <v>4705</v>
      </c>
      <c r="B155" s="1" t="s">
        <v>19</v>
      </c>
      <c r="C155" s="2">
        <v>6500</v>
      </c>
      <c r="D155" s="1" t="s">
        <v>14</v>
      </c>
      <c r="E155" s="3">
        <v>46196</v>
      </c>
      <c r="F155" s="3">
        <v>46320</v>
      </c>
      <c r="G155" s="18">
        <f t="shared" si="2"/>
        <v>124</v>
      </c>
    </row>
    <row r="156" spans="1:7" x14ac:dyDescent="0.3">
      <c r="A156" s="8">
        <v>4706</v>
      </c>
      <c r="B156" s="4" t="s">
        <v>15</v>
      </c>
      <c r="C156" s="5">
        <v>3500</v>
      </c>
      <c r="D156" s="4" t="s">
        <v>12</v>
      </c>
      <c r="E156" s="6">
        <v>46197</v>
      </c>
      <c r="F156" s="6">
        <v>46282</v>
      </c>
      <c r="G156" s="19">
        <f t="shared" si="2"/>
        <v>85</v>
      </c>
    </row>
    <row r="157" spans="1:7" x14ac:dyDescent="0.3">
      <c r="A157" s="7">
        <v>4708</v>
      </c>
      <c r="B157" s="1" t="s">
        <v>21</v>
      </c>
      <c r="C157" s="2">
        <v>10800</v>
      </c>
      <c r="D157" s="1" t="s">
        <v>16</v>
      </c>
      <c r="E157" s="3">
        <v>46199</v>
      </c>
      <c r="F157" s="3">
        <v>46263</v>
      </c>
      <c r="G157" s="18">
        <f t="shared" si="2"/>
        <v>64</v>
      </c>
    </row>
    <row r="158" spans="1:7" x14ac:dyDescent="0.3">
      <c r="A158" s="8">
        <v>4709</v>
      </c>
      <c r="B158" s="4" t="s">
        <v>17</v>
      </c>
      <c r="C158" s="5">
        <v>5000</v>
      </c>
      <c r="D158" s="4" t="s">
        <v>18</v>
      </c>
      <c r="E158" s="6">
        <v>46202</v>
      </c>
      <c r="F158" s="6">
        <v>46241</v>
      </c>
      <c r="G158" s="19">
        <f t="shared" si="2"/>
        <v>39</v>
      </c>
    </row>
    <row r="159" spans="1:7" x14ac:dyDescent="0.3">
      <c r="A159" s="12">
        <v>4710</v>
      </c>
      <c r="B159" s="13" t="s">
        <v>13</v>
      </c>
      <c r="C159" s="14">
        <v>4600</v>
      </c>
      <c r="D159" s="13" t="s">
        <v>14</v>
      </c>
      <c r="E159" s="15">
        <v>46203</v>
      </c>
      <c r="F159" s="15">
        <v>46280</v>
      </c>
      <c r="G159" s="20">
        <f t="shared" si="2"/>
        <v>77</v>
      </c>
    </row>
  </sheetData>
  <mergeCells count="1">
    <mergeCell ref="A1:G1"/>
  </mergeCells>
  <pageMargins left="0.75" right="0.75" top="1" bottom="1" header="0.5" footer="0.5"/>
  <ignoredErrors>
    <ignoredError sqref="G4:G159"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90516-7A50-4495-8164-E82A45E6ACEC}">
  <dimension ref="A1:F27"/>
  <sheetViews>
    <sheetView tabSelected="1" workbookViewId="0">
      <selection activeCell="E2" sqref="E2:E8"/>
    </sheetView>
  </sheetViews>
  <sheetFormatPr defaultRowHeight="14.4" x14ac:dyDescent="0.3"/>
  <cols>
    <col min="1" max="1" width="13.6640625" customWidth="1"/>
    <col min="2" max="2" width="13.44140625" bestFit="1" customWidth="1"/>
    <col min="3" max="3" width="14.88671875" customWidth="1"/>
    <col min="4" max="4" width="16" customWidth="1"/>
    <col min="5" max="5" width="9.77734375" customWidth="1"/>
    <col min="6" max="6" width="20.77734375" customWidth="1"/>
  </cols>
  <sheetData>
    <row r="1" spans="1:6" ht="24" customHeight="1" x14ac:dyDescent="0.35">
      <c r="A1" s="52" t="s">
        <v>37</v>
      </c>
      <c r="B1" s="52"/>
      <c r="C1" s="52"/>
      <c r="D1" s="52"/>
      <c r="E1" s="52"/>
    </row>
    <row r="2" spans="1:6" ht="25.5" customHeight="1" x14ac:dyDescent="0.3">
      <c r="A2" s="23" t="s">
        <v>4</v>
      </c>
      <c r="B2" s="23" t="s">
        <v>31</v>
      </c>
      <c r="C2" s="23" t="s">
        <v>35</v>
      </c>
      <c r="D2" s="23" t="s">
        <v>36</v>
      </c>
      <c r="E2" s="23" t="s">
        <v>51</v>
      </c>
    </row>
    <row r="3" spans="1:6" x14ac:dyDescent="0.3">
      <c r="A3" s="23" t="str">
        <f>'Summary PivotTables'!A3</f>
        <v>Vendor #1</v>
      </c>
      <c r="B3" s="23">
        <f>'Summary PivotTables'!B3</f>
        <v>29</v>
      </c>
      <c r="C3" s="24">
        <f>'Summary PivotTables'!C3</f>
        <v>5000</v>
      </c>
      <c r="D3" s="24">
        <f>'Summary PivotTables'!D3</f>
        <v>127.17241379310344</v>
      </c>
      <c r="E3" s="41">
        <f>IFERROR(COUNTIFS('PO Data'!$D:$D,$A3,'PO Data'!$G:$G,"&lt;=60")/COUNTIFS('PO Data'!$D:$D,$A3),"")</f>
        <v>0</v>
      </c>
    </row>
    <row r="4" spans="1:6" x14ac:dyDescent="0.3">
      <c r="A4" s="23" t="str">
        <f>'Summary PivotTables'!A4</f>
        <v>Vendor #2</v>
      </c>
      <c r="B4" s="23">
        <f>'Summary PivotTables'!B4</f>
        <v>32</v>
      </c>
      <c r="C4" s="24">
        <f>'Summary PivotTables'!C4</f>
        <v>6753.125</v>
      </c>
      <c r="D4" s="24">
        <f>'Summary PivotTables'!D4</f>
        <v>90.3125</v>
      </c>
      <c r="E4" s="41">
        <f>IFERROR(COUNTIFS('PO Data'!$D:$D,$A4,'PO Data'!$G:$G,"&lt;=60")/COUNTIFS('PO Data'!$D:$D,$A4),"")</f>
        <v>0.125</v>
      </c>
    </row>
    <row r="5" spans="1:6" x14ac:dyDescent="0.3">
      <c r="A5" s="23" t="str">
        <f>'Summary PivotTables'!A5</f>
        <v>Vendor #3</v>
      </c>
      <c r="B5" s="23">
        <f>'Summary PivotTables'!B5</f>
        <v>28</v>
      </c>
      <c r="C5" s="24">
        <f>'Summary PivotTables'!C5</f>
        <v>4003.5714285714284</v>
      </c>
      <c r="D5" s="24">
        <f>'Summary PivotTables'!D5</f>
        <v>31.071428571428573</v>
      </c>
      <c r="E5" s="41">
        <f>IFERROR(COUNTIFS('PO Data'!$D:$D,$A5,'PO Data'!$G:$G,"&lt;=60")/COUNTIFS('PO Data'!$D:$D,$A5),"")</f>
        <v>1</v>
      </c>
    </row>
    <row r="6" spans="1:6" x14ac:dyDescent="0.3">
      <c r="A6" s="23" t="str">
        <f>'Summary PivotTables'!A6</f>
        <v>Vendor #4</v>
      </c>
      <c r="B6" s="23">
        <f>'Summary PivotTables'!B6</f>
        <v>47</v>
      </c>
      <c r="C6" s="24">
        <f>'Summary PivotTables'!C6</f>
        <v>8882.978723404256</v>
      </c>
      <c r="D6" s="24">
        <f>'Summary PivotTables'!D6</f>
        <v>77.191489361702125</v>
      </c>
      <c r="E6" s="41">
        <f>IFERROR(COUNTIFS('PO Data'!$D:$D,$A6,'PO Data'!$G:$G,"&lt;=60")/COUNTIFS('PO Data'!$D:$D,$A6),"")</f>
        <v>0.27659574468085107</v>
      </c>
    </row>
    <row r="7" spans="1:6" x14ac:dyDescent="0.3">
      <c r="A7" s="23" t="str">
        <f>'Summary PivotTables'!A7</f>
        <v>Vendor #5</v>
      </c>
      <c r="B7" s="23">
        <f>'Summary PivotTables'!B7</f>
        <v>21</v>
      </c>
      <c r="C7" s="24">
        <f>'Summary PivotTables'!C7</f>
        <v>5733.333333333333</v>
      </c>
      <c r="D7" s="24">
        <f>'Summary PivotTables'!D7</f>
        <v>82.523809523809518</v>
      </c>
      <c r="E7" s="41">
        <f>IFERROR(COUNTIFS('PO Data'!$D:$D,$A7,'PO Data'!$G:$G,"&lt;=60")/COUNTIFS('PO Data'!$D:$D,$A7),"")</f>
        <v>0.38095238095238093</v>
      </c>
    </row>
    <row r="8" spans="1:6" ht="16.2" customHeight="1" x14ac:dyDescent="0.3">
      <c r="A8" s="23" t="s">
        <v>52</v>
      </c>
      <c r="B8" s="24">
        <f>AVERAGE(B3:B7)</f>
        <v>31.4</v>
      </c>
      <c r="C8" s="24">
        <f>'Summary PivotTables'!C8</f>
        <v>6440.127388535032</v>
      </c>
      <c r="D8" s="24">
        <f>'Summary PivotTables'!D8</f>
        <v>81.585987261146499</v>
      </c>
      <c r="E8" s="42">
        <f>AVERAGE(E3:E7)</f>
        <v>0.35650962512664641</v>
      </c>
    </row>
    <row r="10" spans="1:6" ht="14.4" hidden="1" customHeight="1" x14ac:dyDescent="0.3">
      <c r="A10" s="26"/>
      <c r="B10" s="27"/>
      <c r="C10" s="27"/>
      <c r="D10" s="27"/>
    </row>
    <row r="11" spans="1:6" ht="24" customHeight="1" x14ac:dyDescent="0.35">
      <c r="A11" s="52" t="s">
        <v>41</v>
      </c>
      <c r="B11" s="52"/>
      <c r="C11" s="52"/>
      <c r="D11" s="52"/>
      <c r="E11" s="52"/>
      <c r="F11" s="52"/>
    </row>
    <row r="12" spans="1:6" ht="25.5" customHeight="1" x14ac:dyDescent="0.3">
      <c r="A12" s="28" t="s">
        <v>4</v>
      </c>
      <c r="B12" s="28" t="s">
        <v>38</v>
      </c>
      <c r="C12" s="28" t="s">
        <v>39</v>
      </c>
      <c r="D12" s="28" t="s">
        <v>40</v>
      </c>
      <c r="E12" s="28" t="s">
        <v>42</v>
      </c>
      <c r="F12" s="28" t="s">
        <v>43</v>
      </c>
    </row>
    <row r="13" spans="1:6" ht="22.8" customHeight="1" x14ac:dyDescent="0.3">
      <c r="A13" s="29" t="s">
        <v>9</v>
      </c>
      <c r="B13" s="32">
        <f>$D$8-D3 * 0.5</f>
        <v>17.999780364594777</v>
      </c>
      <c r="C13" s="32">
        <f>ROUND(100*C3/SUM($C$3:$C$7),1)</f>
        <v>16.5</v>
      </c>
      <c r="D13" s="32">
        <f>MEDIAN(B13:C13)</f>
        <v>17.249890182297388</v>
      </c>
      <c r="E13" s="29">
        <f>RANK(D13,$D$13:$D$17)</f>
        <v>5</v>
      </c>
      <c r="F13" s="34" t="s">
        <v>44</v>
      </c>
    </row>
    <row r="14" spans="1:6" ht="22.8" customHeight="1" x14ac:dyDescent="0.3">
      <c r="A14" s="30" t="s">
        <v>14</v>
      </c>
      <c r="B14" s="33">
        <f>$D$8-D4 * 0.5</f>
        <v>36.429737261146499</v>
      </c>
      <c r="C14" s="33">
        <f>ROUND(100*C4/SUM($C$3:$C$7),1)</f>
        <v>22.2</v>
      </c>
      <c r="D14" s="33">
        <f>MEDIAN(B14:C14)</f>
        <v>29.314868630573251</v>
      </c>
      <c r="E14" s="30">
        <f>RANK(D14,$D$13:$D$17)</f>
        <v>4</v>
      </c>
      <c r="F14" s="35" t="s">
        <v>45</v>
      </c>
    </row>
    <row r="15" spans="1:6" ht="22.8" customHeight="1" x14ac:dyDescent="0.3">
      <c r="A15" s="29" t="s">
        <v>18</v>
      </c>
      <c r="B15" s="32">
        <f>$D$8-D5 * 0.5</f>
        <v>66.050272975432208</v>
      </c>
      <c r="C15" s="32">
        <f>ROUND(100*C5/SUM($C$3:$C$7),1)</f>
        <v>13.2</v>
      </c>
      <c r="D15" s="32">
        <f>MEDIAN(B15:C15)</f>
        <v>39.625136487716105</v>
      </c>
      <c r="E15" s="29">
        <f>RANK(D15,$D$13:$D$17)</f>
        <v>1</v>
      </c>
      <c r="F15" s="34" t="s">
        <v>47</v>
      </c>
    </row>
    <row r="16" spans="1:6" ht="22.8" customHeight="1" x14ac:dyDescent="0.3">
      <c r="A16" s="30" t="s">
        <v>16</v>
      </c>
      <c r="B16" s="33">
        <f>$D$8-D6 * 0.5</f>
        <v>42.990242580295437</v>
      </c>
      <c r="C16" s="33">
        <f>ROUND(100*C6/SUM($C$3:$C$7),1)</f>
        <v>29.2</v>
      </c>
      <c r="D16" s="33">
        <f>MEDIAN(B16:C16)</f>
        <v>36.095121290147716</v>
      </c>
      <c r="E16" s="30">
        <f>RANK(D16,$D$13:$D$17)</f>
        <v>2</v>
      </c>
      <c r="F16" s="35" t="s">
        <v>46</v>
      </c>
    </row>
    <row r="17" spans="1:6" ht="22.8" customHeight="1" x14ac:dyDescent="0.3">
      <c r="A17" s="36" t="s">
        <v>12</v>
      </c>
      <c r="B17" s="37">
        <f>$D$8-D7 * 0.5</f>
        <v>40.32408249924174</v>
      </c>
      <c r="C17" s="37">
        <f>ROUND(100*C7/SUM($C$3:$C$7),1)</f>
        <v>18.899999999999999</v>
      </c>
      <c r="D17" s="37">
        <f>MEDIAN(B17:C17)</f>
        <v>29.612041249620869</v>
      </c>
      <c r="E17" s="36">
        <f>RANK(D17,$D$13:$D$17)</f>
        <v>3</v>
      </c>
      <c r="F17" s="38" t="s">
        <v>45</v>
      </c>
    </row>
    <row r="21" spans="1:6" x14ac:dyDescent="0.3">
      <c r="A21" s="51"/>
      <c r="B21" s="51"/>
      <c r="C21" s="51"/>
      <c r="D21" s="51"/>
    </row>
    <row r="22" spans="1:6" x14ac:dyDescent="0.3">
      <c r="A22" s="28"/>
      <c r="B22" s="28"/>
      <c r="C22" s="28"/>
      <c r="D22" s="28"/>
    </row>
    <row r="23" spans="1:6" x14ac:dyDescent="0.3">
      <c r="B23" s="31"/>
      <c r="D23" s="31"/>
    </row>
    <row r="24" spans="1:6" x14ac:dyDescent="0.3">
      <c r="B24" s="31"/>
      <c r="D24" s="31"/>
    </row>
    <row r="25" spans="1:6" x14ac:dyDescent="0.3">
      <c r="B25" s="31"/>
      <c r="D25" s="31"/>
    </row>
    <row r="26" spans="1:6" x14ac:dyDescent="0.3">
      <c r="B26" s="31"/>
      <c r="D26" s="31"/>
    </row>
    <row r="27" spans="1:6" x14ac:dyDescent="0.3">
      <c r="B27" s="31"/>
      <c r="D27" s="31"/>
    </row>
  </sheetData>
  <mergeCells count="3">
    <mergeCell ref="A21:D21"/>
    <mergeCell ref="A11:F11"/>
    <mergeCell ref="A1:E1"/>
  </mergeCells>
  <pageMargins left="0.7" right="0.7" top="0.75" bottom="0.75" header="0.3" footer="0.3"/>
  <ignoredErrors>
    <ignoredError sqref="E8 A8:B8" calculatedColumn="1"/>
  </ignoredErrors>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6ADA1-4FD7-41AC-BF7F-628B902316D7}">
  <dimension ref="A1:G20"/>
  <sheetViews>
    <sheetView workbookViewId="0">
      <selection activeCell="J4" sqref="J4"/>
    </sheetView>
  </sheetViews>
  <sheetFormatPr defaultRowHeight="14.4" x14ac:dyDescent="0.3"/>
  <cols>
    <col min="1" max="1" width="12.109375" customWidth="1"/>
    <col min="2" max="2" width="12.88671875" customWidth="1"/>
    <col min="3" max="3" width="16.109375" customWidth="1"/>
    <col min="4" max="4" width="13.21875" customWidth="1"/>
    <col min="5" max="6" width="14.44140625" customWidth="1"/>
    <col min="7" max="7" width="26.88671875" customWidth="1"/>
  </cols>
  <sheetData>
    <row r="1" spans="1:7" ht="17.399999999999999" x14ac:dyDescent="0.35">
      <c r="A1" s="50" t="s">
        <v>53</v>
      </c>
      <c r="B1" s="50"/>
      <c r="C1" s="50"/>
      <c r="D1" s="50"/>
      <c r="E1" s="50"/>
      <c r="F1" s="50"/>
      <c r="G1" s="50"/>
    </row>
    <row r="2" spans="1:7" ht="28.8" x14ac:dyDescent="0.3">
      <c r="A2" s="23" t="s">
        <v>2</v>
      </c>
      <c r="B2" s="23" t="s">
        <v>31</v>
      </c>
      <c r="C2" s="23" t="s">
        <v>48</v>
      </c>
      <c r="D2" s="23" t="s">
        <v>50</v>
      </c>
      <c r="E2" s="23" t="s">
        <v>36</v>
      </c>
      <c r="F2" s="23" t="s">
        <v>51</v>
      </c>
      <c r="G2" s="45" t="s">
        <v>43</v>
      </c>
    </row>
    <row r="3" spans="1:7" x14ac:dyDescent="0.3">
      <c r="A3" s="23" t="str">
        <f>'Summary PivotTables'!A13</f>
        <v>Product #1</v>
      </c>
      <c r="B3" s="23">
        <f>'Summary PivotTables'!B13</f>
        <v>8</v>
      </c>
      <c r="C3" s="44">
        <f>'Summary PivotTables'!C13</f>
        <v>4400</v>
      </c>
      <c r="D3" s="44">
        <f>'Summary PivotTables'!D13</f>
        <v>35200</v>
      </c>
      <c r="E3" s="24">
        <f>'Summary PivotTables'!E13</f>
        <v>109.125</v>
      </c>
      <c r="F3" s="53">
        <f>IFERROR(COUNTIFS('PO Data'!$B:$B,$A3,'PO Data'!$G:$G,"&lt;=60")/COUNTIFS('PO Data'!$B:$B,$A3),"")</f>
        <v>0</v>
      </c>
      <c r="G3" s="46" t="str">
        <f>IF(D3&gt;=MEDIAN(D$3:D$19)*1.5,"High volume, ",IF(D3&gt;=MEDIAN(D$3:D$19)*0.75,"Mid volume, ","Low volume, "))&amp;IF(E3&lt;=MEDIAN(E$3:E$19)*0.9,"fast lead",IF(E3&lt;=MEDIAN(E$3:E$19)*1.1,"decent lead","slow lead"))</f>
        <v>Mid volume, slow lead</v>
      </c>
    </row>
    <row r="4" spans="1:7" x14ac:dyDescent="0.3">
      <c r="A4" s="23" t="str">
        <f>'Summary PivotTables'!A14</f>
        <v>Product #2</v>
      </c>
      <c r="B4" s="23">
        <f>'Summary PivotTables'!B14</f>
        <v>8</v>
      </c>
      <c r="C4" s="44">
        <f>'Summary PivotTables'!C14</f>
        <v>5212.5</v>
      </c>
      <c r="D4" s="44">
        <f>'Summary PivotTables'!D14</f>
        <v>41700</v>
      </c>
      <c r="E4" s="24">
        <f>'Summary PivotTables'!E14</f>
        <v>133.25</v>
      </c>
      <c r="F4" s="53">
        <f>IFERROR(COUNTIFS('PO Data'!$B:$B,$A4,'PO Data'!$G:$G,"&lt;=60")/COUNTIFS('PO Data'!$B:$B,$A4),"")</f>
        <v>0</v>
      </c>
      <c r="G4" s="46" t="str">
        <f>IF(D4&gt;=MEDIAN(D$3:D$19)*1.5,"High volume, ",IF(D4&gt;=MEDIAN(D$3:D$19)*0.75,"Mid volume, ","Low volume, "))&amp;IF(E4&lt;=MEDIAN(E$3:E$19)*0.9,"fast lead",IF(E4&lt;=MEDIAN(E$3:E$19)*1.1,"decent lead","slow lead"))</f>
        <v>Mid volume, slow lead</v>
      </c>
    </row>
    <row r="5" spans="1:7" x14ac:dyDescent="0.3">
      <c r="A5" s="23" t="str">
        <f>'Summary PivotTables'!A15</f>
        <v>Product #3</v>
      </c>
      <c r="B5" s="23">
        <f>'Summary PivotTables'!B15</f>
        <v>10</v>
      </c>
      <c r="C5" s="44">
        <f>'Summary PivotTables'!C15</f>
        <v>4950</v>
      </c>
      <c r="D5" s="44">
        <f>'Summary PivotTables'!D15</f>
        <v>49500</v>
      </c>
      <c r="E5" s="24">
        <f>'Summary PivotTables'!E15</f>
        <v>131.5</v>
      </c>
      <c r="F5" s="53">
        <f>IFERROR(COUNTIFS('PO Data'!$B:$B,$A5,'PO Data'!$G:$G,"&lt;=60")/COUNTIFS('PO Data'!$B:$B,$A5),"")</f>
        <v>0</v>
      </c>
      <c r="G5" s="46" t="str">
        <f>IF(D5&gt;=MEDIAN(D$3:D$19)*1.5,"High volume, ",IF(D5&gt;=MEDIAN(D$3:D$19)*0.75,"Mid volume, ","Low volume, "))&amp;IF(E5&lt;=MEDIAN(E$3:E$19)*0.9,"fast lead",IF(E5&lt;=MEDIAN(E$3:E$19)*1.1,"decent lead","slow lead"))</f>
        <v>Mid volume, slow lead</v>
      </c>
    </row>
    <row r="6" spans="1:7" x14ac:dyDescent="0.3">
      <c r="A6" s="23" t="str">
        <f>'Summary PivotTables'!A16</f>
        <v>Product #4</v>
      </c>
      <c r="B6" s="23">
        <f>'Summary PivotTables'!B16</f>
        <v>3</v>
      </c>
      <c r="C6" s="44">
        <f>'Summary PivotTables'!C16</f>
        <v>7300</v>
      </c>
      <c r="D6" s="44">
        <f>'Summary PivotTables'!D16</f>
        <v>21900</v>
      </c>
      <c r="E6" s="24">
        <f>'Summary PivotTables'!E16</f>
        <v>128</v>
      </c>
      <c r="F6" s="53">
        <f>IFERROR(COUNTIFS('PO Data'!$B:$B,$A6,'PO Data'!$G:$G,"&lt;=60")/COUNTIFS('PO Data'!$B:$B,$A6),"")</f>
        <v>0</v>
      </c>
      <c r="G6" s="46" t="str">
        <f>IF(D6&gt;=MEDIAN(D$3:D$19)*1.5,"High volume, ",IF(D6&gt;=MEDIAN(D$3:D$19)*0.75,"Mid volume, ","Low volume, "))&amp;IF(E6&lt;=MEDIAN(E$3:E$19)*0.9,"fast lead",IF(E6&lt;=MEDIAN(E$3:E$19)*1.1,"decent lead","slow lead"))</f>
        <v>Low volume, slow lead</v>
      </c>
    </row>
    <row r="7" spans="1:7" x14ac:dyDescent="0.3">
      <c r="A7" s="23" t="str">
        <f>'Summary PivotTables'!A17</f>
        <v>Product #5</v>
      </c>
      <c r="B7" s="23">
        <f>'Summary PivotTables'!B17</f>
        <v>11</v>
      </c>
      <c r="C7" s="44">
        <f>'Summary PivotTables'!C17</f>
        <v>7327.272727272727</v>
      </c>
      <c r="D7" s="44">
        <f>'Summary PivotTables'!D17</f>
        <v>80600</v>
      </c>
      <c r="E7" s="24">
        <f>'Summary PivotTables'!E17</f>
        <v>81.454545454545453</v>
      </c>
      <c r="F7" s="53">
        <f>IFERROR(COUNTIFS('PO Data'!$B:$B,$A7,'PO Data'!$G:$G,"&lt;=60")/COUNTIFS('PO Data'!$B:$B,$A7),"")</f>
        <v>0.36363636363636365</v>
      </c>
      <c r="G7" s="46" t="str">
        <f>IF(D7&gt;=MEDIAN(D$3:D$19)*1.5,"High volume, ",IF(D7&gt;=MEDIAN(D$3:D$19)*0.75,"Mid volume, ","Low volume, "))&amp;IF(E7&lt;=MEDIAN(E$3:E$19)*0.9,"fast lead",IF(E7&lt;=MEDIAN(E$3:E$19)*1.1,"decent lead","slow lead"))</f>
        <v>High volume, decent lead</v>
      </c>
    </row>
    <row r="8" spans="1:7" x14ac:dyDescent="0.3">
      <c r="A8" s="23" t="str">
        <f>'Summary PivotTables'!A18</f>
        <v>Product #6</v>
      </c>
      <c r="B8" s="23">
        <f>'Summary PivotTables'!B18</f>
        <v>13</v>
      </c>
      <c r="C8" s="44">
        <f>'Summary PivotTables'!C18</f>
        <v>6669.2307692307695</v>
      </c>
      <c r="D8" s="44">
        <f>'Summary PivotTables'!D18</f>
        <v>86700</v>
      </c>
      <c r="E8" s="24">
        <f>'Summary PivotTables'!E18</f>
        <v>97.769230769230774</v>
      </c>
      <c r="F8" s="53">
        <f>IFERROR(COUNTIFS('PO Data'!$B:$B,$A8,'PO Data'!$G:$G,"&lt;=60")/COUNTIFS('PO Data'!$B:$B,$A8),"")</f>
        <v>0</v>
      </c>
      <c r="G8" s="46" t="str">
        <f>IF(D8&gt;=MEDIAN(D$3:D$19)*1.5,"High volume, ",IF(D8&gt;=MEDIAN(D$3:D$19)*0.75,"Mid volume, ","Low volume, "))&amp;IF(E8&lt;=MEDIAN(E$3:E$19)*0.9,"fast lead",IF(E8&lt;=MEDIAN(E$3:E$19)*1.1,"decent lead","slow lead"))</f>
        <v>High volume, slow lead</v>
      </c>
    </row>
    <row r="9" spans="1:7" x14ac:dyDescent="0.3">
      <c r="A9" s="23" t="str">
        <f>'Summary PivotTables'!A19</f>
        <v>Product #7</v>
      </c>
      <c r="B9" s="23">
        <f>'Summary PivotTables'!B19</f>
        <v>7</v>
      </c>
      <c r="C9" s="44">
        <f>'Summary PivotTables'!C19</f>
        <v>5742.8571428571431</v>
      </c>
      <c r="D9" s="44">
        <f>'Summary PivotTables'!D19</f>
        <v>40200</v>
      </c>
      <c r="E9" s="24">
        <f>'Summary PivotTables'!E19</f>
        <v>73.714285714285708</v>
      </c>
      <c r="F9" s="53">
        <f>IFERROR(COUNTIFS('PO Data'!$B:$B,$A9,'PO Data'!$G:$G,"&lt;=60")/COUNTIFS('PO Data'!$B:$B,$A9),"")</f>
        <v>0.14285714285714285</v>
      </c>
      <c r="G9" s="46" t="str">
        <f>IF(D9&gt;=MEDIAN(D$3:D$19)*1.5,"High volume, ",IF(D9&gt;=MEDIAN(D$3:D$19)*0.75,"Mid volume, ","Low volume, "))&amp;IF(E9&lt;=MEDIAN(E$3:E$19)*0.9,"fast lead",IF(E9&lt;=MEDIAN(E$3:E$19)*1.1,"decent lead","slow lead"))</f>
        <v>Mid volume, decent lead</v>
      </c>
    </row>
    <row r="10" spans="1:7" x14ac:dyDescent="0.3">
      <c r="A10" s="23" t="str">
        <f>'Summary PivotTables'!A20</f>
        <v>Product #8</v>
      </c>
      <c r="B10" s="23">
        <f>'Summary PivotTables'!B20</f>
        <v>5</v>
      </c>
      <c r="C10" s="44">
        <f>'Summary PivotTables'!C20</f>
        <v>3640</v>
      </c>
      <c r="D10" s="44">
        <f>'Summary PivotTables'!D20</f>
        <v>18200</v>
      </c>
      <c r="E10" s="24">
        <f>'Summary PivotTables'!E20</f>
        <v>30</v>
      </c>
      <c r="F10" s="53">
        <f>IFERROR(COUNTIFS('PO Data'!$B:$B,$A10,'PO Data'!$G:$G,"&lt;=60")/COUNTIFS('PO Data'!$B:$B,$A10),"")</f>
        <v>1</v>
      </c>
      <c r="G10" s="46" t="str">
        <f>IF(D10&gt;=MEDIAN(D$3:D$19)*1.5,"High volume, ",IF(D10&gt;=MEDIAN(D$3:D$19)*0.75,"Mid volume, ","Low volume, "))&amp;IF(E10&lt;=MEDIAN(E$3:E$19)*0.9,"fast lead",IF(E10&lt;=MEDIAN(E$3:E$19)*1.1,"decent lead","slow lead"))</f>
        <v>Low volume, fast lead</v>
      </c>
    </row>
    <row r="11" spans="1:7" x14ac:dyDescent="0.3">
      <c r="A11" s="23" t="str">
        <f>'Summary PivotTables'!A21</f>
        <v>Product #9</v>
      </c>
      <c r="B11" s="23">
        <f>'Summary PivotTables'!B21</f>
        <v>8</v>
      </c>
      <c r="C11" s="44">
        <f>'Summary PivotTables'!C21</f>
        <v>2600</v>
      </c>
      <c r="D11" s="44">
        <f>'Summary PivotTables'!D21</f>
        <v>20800</v>
      </c>
      <c r="E11" s="24">
        <f>'Summary PivotTables'!E21</f>
        <v>33</v>
      </c>
      <c r="F11" s="53">
        <f>IFERROR(COUNTIFS('PO Data'!$B:$B,$A11,'PO Data'!$G:$G,"&lt;=60")/COUNTIFS('PO Data'!$B:$B,$A11),"")</f>
        <v>1</v>
      </c>
      <c r="G11" s="46" t="str">
        <f>IF(D11&gt;=MEDIAN(D$3:D$19)*1.5,"High volume, ",IF(D11&gt;=MEDIAN(D$3:D$19)*0.75,"Mid volume, ","Low volume, "))&amp;IF(E11&lt;=MEDIAN(E$3:E$19)*0.9,"fast lead",IF(E11&lt;=MEDIAN(E$3:E$19)*1.1,"decent lead","slow lead"))</f>
        <v>Low volume, fast lead</v>
      </c>
    </row>
    <row r="12" spans="1:7" x14ac:dyDescent="0.3">
      <c r="A12" s="23" t="str">
        <f>'Summary PivotTables'!A22</f>
        <v>Product #10</v>
      </c>
      <c r="B12" s="23">
        <f>'Summary PivotTables'!B22</f>
        <v>11</v>
      </c>
      <c r="C12" s="44">
        <f>'Summary PivotTables'!C22</f>
        <v>3600</v>
      </c>
      <c r="D12" s="44">
        <f>'Summary PivotTables'!D22</f>
        <v>39600</v>
      </c>
      <c r="E12" s="24">
        <f>'Summary PivotTables'!E22</f>
        <v>31</v>
      </c>
      <c r="F12" s="53">
        <f>IFERROR(COUNTIFS('PO Data'!$B:$B,$A12,'PO Data'!$G:$G,"&lt;=60")/COUNTIFS('PO Data'!$B:$B,$A12),"")</f>
        <v>1</v>
      </c>
      <c r="G12" s="46" t="str">
        <f>IF(D12&gt;=MEDIAN(D$3:D$19)*1.5,"High volume, ",IF(D12&gt;=MEDIAN(D$3:D$19)*0.75,"Mid volume, ","Low volume, "))&amp;IF(E12&lt;=MEDIAN(E$3:E$19)*0.9,"fast lead",IF(E12&lt;=MEDIAN(E$3:E$19)*1.1,"decent lead","slow lead"))</f>
        <v>Mid volume, fast lead</v>
      </c>
    </row>
    <row r="13" spans="1:7" x14ac:dyDescent="0.3">
      <c r="A13" s="23" t="str">
        <f>'Summary PivotTables'!A23</f>
        <v>Product #11</v>
      </c>
      <c r="B13" s="23">
        <f>'Summary PivotTables'!B23</f>
        <v>17</v>
      </c>
      <c r="C13" s="44">
        <f>'Summary PivotTables'!C23</f>
        <v>9652.9411764705874</v>
      </c>
      <c r="D13" s="44">
        <f>'Summary PivotTables'!D23</f>
        <v>164100</v>
      </c>
      <c r="E13" s="24">
        <f>'Summary PivotTables'!E23</f>
        <v>81.058823529411768</v>
      </c>
      <c r="F13" s="53">
        <f>IFERROR(COUNTIFS('PO Data'!$B:$B,$A13,'PO Data'!$G:$G,"&lt;=60")/COUNTIFS('PO Data'!$B:$B,$A13),"")</f>
        <v>0.23529411764705882</v>
      </c>
      <c r="G13" s="46" t="str">
        <f>IF(D13&gt;=MEDIAN(D$3:D$19)*1.5,"High volume, ",IF(D13&gt;=MEDIAN(D$3:D$19)*0.75,"Mid volume, ","Low volume, "))&amp;IF(E13&lt;=MEDIAN(E$3:E$19)*0.9,"fast lead",IF(E13&lt;=MEDIAN(E$3:E$19)*1.1,"decent lead","slow lead"))</f>
        <v>High volume, decent lead</v>
      </c>
    </row>
    <row r="14" spans="1:7" x14ac:dyDescent="0.3">
      <c r="A14" s="23" t="str">
        <f>'Summary PivotTables'!A24</f>
        <v>Product #12</v>
      </c>
      <c r="B14" s="23">
        <f>'Summary PivotTables'!B24</f>
        <v>12</v>
      </c>
      <c r="C14" s="44">
        <f>'Summary PivotTables'!C24</f>
        <v>8041.666666666667</v>
      </c>
      <c r="D14" s="44">
        <f>'Summary PivotTables'!D24</f>
        <v>96500</v>
      </c>
      <c r="E14" s="24">
        <f>'Summary PivotTables'!E24</f>
        <v>67.333333333333329</v>
      </c>
      <c r="F14" s="53">
        <f>IFERROR(COUNTIFS('PO Data'!$B:$B,$A14,'PO Data'!$G:$G,"&lt;=60")/COUNTIFS('PO Data'!$B:$B,$A14),"")</f>
        <v>0.5</v>
      </c>
      <c r="G14" s="46" t="str">
        <f>IF(D14&gt;=MEDIAN(D$3:D$19)*1.5,"High volume, ",IF(D14&gt;=MEDIAN(D$3:D$19)*0.75,"Mid volume, ","Low volume, "))&amp;IF(E14&lt;=MEDIAN(E$3:E$19)*0.9,"fast lead",IF(E14&lt;=MEDIAN(E$3:E$19)*1.1,"decent lead","slow lead"))</f>
        <v>High volume, fast lead</v>
      </c>
    </row>
    <row r="15" spans="1:7" x14ac:dyDescent="0.3">
      <c r="A15" s="23" t="str">
        <f>'Summary PivotTables'!A25</f>
        <v>Product #13</v>
      </c>
      <c r="B15" s="23">
        <f>'Summary PivotTables'!B25</f>
        <v>7</v>
      </c>
      <c r="C15" s="44">
        <f>'Summary PivotTables'!C25</f>
        <v>8728.5714285714294</v>
      </c>
      <c r="D15" s="44">
        <f>'Summary PivotTables'!D25</f>
        <v>61100</v>
      </c>
      <c r="E15" s="24">
        <f>'Summary PivotTables'!E25</f>
        <v>81.571428571428569</v>
      </c>
      <c r="F15" s="53">
        <f>IFERROR(COUNTIFS('PO Data'!$B:$B,$A15,'PO Data'!$G:$G,"&lt;=60")/COUNTIFS('PO Data'!$B:$B,$A15),"")</f>
        <v>0.14285714285714285</v>
      </c>
      <c r="G15" s="46" t="str">
        <f>IF(D15&gt;=MEDIAN(D$3:D$19)*1.5,"High volume, ",IF(D15&gt;=MEDIAN(D$3:D$19)*0.75,"Mid volume, ","Low volume, "))&amp;IF(E15&lt;=MEDIAN(E$3:E$19)*0.9,"fast lead",IF(E15&lt;=MEDIAN(E$3:E$19)*1.1,"decent lead","slow lead"))</f>
        <v>Mid volume, decent lead</v>
      </c>
    </row>
    <row r="16" spans="1:7" x14ac:dyDescent="0.3">
      <c r="A16" s="23" t="str">
        <f>'Summary PivotTables'!A26</f>
        <v>Product #14</v>
      </c>
      <c r="B16" s="23">
        <f>'Summary PivotTables'!B26</f>
        <v>13</v>
      </c>
      <c r="C16" s="44">
        <f>'Summary PivotTables'!C26</f>
        <v>8930.7692307692305</v>
      </c>
      <c r="D16" s="44">
        <f>'Summary PivotTables'!D26</f>
        <v>116100</v>
      </c>
      <c r="E16" s="24">
        <f>'Summary PivotTables'!E26</f>
        <v>69</v>
      </c>
      <c r="F16" s="53">
        <f>IFERROR(COUNTIFS('PO Data'!$B:$B,$A16,'PO Data'!$G:$G,"&lt;=60")/COUNTIFS('PO Data'!$B:$B,$A16),"")</f>
        <v>0.46153846153846156</v>
      </c>
      <c r="G16" s="46" t="str">
        <f>IF(D16&gt;=MEDIAN(D$3:D$19)*1.5,"High volume, ",IF(D16&gt;=MEDIAN(D$3:D$19)*0.75,"Mid volume, ","Low volume, "))&amp;IF(E16&lt;=MEDIAN(E$3:E$19)*0.9,"fast lead",IF(E16&lt;=MEDIAN(E$3:E$19)*1.1,"decent lead","slow lead"))</f>
        <v>High volume, fast lead</v>
      </c>
    </row>
    <row r="17" spans="1:7" x14ac:dyDescent="0.3">
      <c r="A17" s="23" t="str">
        <f>'Summary PivotTables'!A27</f>
        <v>Product #15</v>
      </c>
      <c r="B17" s="23">
        <f>'Summary PivotTables'!B27</f>
        <v>11</v>
      </c>
      <c r="C17" s="44">
        <f>'Summary PivotTables'!C27</f>
        <v>5281.818181818182</v>
      </c>
      <c r="D17" s="44">
        <f>'Summary PivotTables'!D27</f>
        <v>58100</v>
      </c>
      <c r="E17" s="24">
        <f>'Summary PivotTables'!E27</f>
        <v>94.36363636363636</v>
      </c>
      <c r="F17" s="53">
        <f>IFERROR(COUNTIFS('PO Data'!$B:$B,$A17,'PO Data'!$G:$G,"&lt;=60")/COUNTIFS('PO Data'!$B:$B,$A17),"")</f>
        <v>0.27272727272727271</v>
      </c>
      <c r="G17" s="46" t="str">
        <f>IF(D17&gt;=MEDIAN(D$3:D$19)*1.5,"High volume, ",IF(D17&gt;=MEDIAN(D$3:D$19)*0.75,"Mid volume, ","Low volume, "))&amp;IF(E17&lt;=MEDIAN(E$3:E$19)*0.9,"fast lead",IF(E17&lt;=MEDIAN(E$3:E$19)*1.1,"decent lead","slow lead"))</f>
        <v>Mid volume, slow lead</v>
      </c>
    </row>
    <row r="18" spans="1:7" x14ac:dyDescent="0.3">
      <c r="A18" s="23" t="str">
        <f>'Summary PivotTables'!A28</f>
        <v>Product #16</v>
      </c>
      <c r="B18" s="23">
        <f>'Summary PivotTables'!B28</f>
        <v>6</v>
      </c>
      <c r="C18" s="44">
        <f>'Summary PivotTables'!C28</f>
        <v>6066.666666666667</v>
      </c>
      <c r="D18" s="44">
        <f>'Summary PivotTables'!D28</f>
        <v>36400</v>
      </c>
      <c r="E18" s="24">
        <f>'Summary PivotTables'!E28</f>
        <v>78.333333333333329</v>
      </c>
      <c r="F18" s="53">
        <f>IFERROR(COUNTIFS('PO Data'!$B:$B,$A18,'PO Data'!$G:$G,"&lt;=60")/COUNTIFS('PO Data'!$B:$B,$A18),"")</f>
        <v>0.33333333333333331</v>
      </c>
      <c r="G18" s="46" t="str">
        <f>IF(D18&gt;=MEDIAN(D$3:D$19)*1.5,"High volume, ",IF(D18&gt;=MEDIAN(D$3:D$19)*0.75,"Mid volume, ","Low volume, "))&amp;IF(E18&lt;=MEDIAN(E$3:E$19)*0.9,"fast lead",IF(E18&lt;=MEDIAN(E$3:E$19)*1.1,"decent lead","slow lead"))</f>
        <v>Mid volume, decent lead</v>
      </c>
    </row>
    <row r="19" spans="1:7" x14ac:dyDescent="0.3">
      <c r="A19" s="23" t="str">
        <f>'Summary PivotTables'!A29</f>
        <v>Product #17</v>
      </c>
      <c r="B19" s="23">
        <f>'Summary PivotTables'!B29</f>
        <v>7</v>
      </c>
      <c r="C19" s="44">
        <f>'Summary PivotTables'!C29</f>
        <v>6342.8571428571431</v>
      </c>
      <c r="D19" s="44">
        <f>'Summary PivotTables'!D29</f>
        <v>44400</v>
      </c>
      <c r="E19" s="24">
        <f>'Summary PivotTables'!E29</f>
        <v>81.571428571428569</v>
      </c>
      <c r="F19" s="53">
        <f>IFERROR(COUNTIFS('PO Data'!$B:$B,$A19,'PO Data'!$G:$G,"&lt;=60")/COUNTIFS('PO Data'!$B:$B,$A19),"")</f>
        <v>0.2857142857142857</v>
      </c>
      <c r="G19" s="46" t="str">
        <f>IF(D19&gt;=MEDIAN(D$3:D$19)*1.5,"High volume, ",IF(D19&gt;=MEDIAN(D$3:D$19)*0.75,"Mid volume, ","Low volume, "))&amp;IF(E19&lt;=MEDIAN(E$3:E$19)*0.9,"fast lead",IF(E19&lt;=MEDIAN(E$3:E$19)*1.1,"decent lead","slow lead"))</f>
        <v>Mid volume, decent lead</v>
      </c>
    </row>
    <row r="20" spans="1:7" x14ac:dyDescent="0.3">
      <c r="A20" s="23" t="str">
        <f>'Summary PivotTables'!A30</f>
        <v>Grand Total</v>
      </c>
      <c r="B20" s="23">
        <f>'Summary PivotTables'!B30</f>
        <v>157</v>
      </c>
      <c r="C20" s="44">
        <f>'Summary PivotTables'!C30</f>
        <v>6440.127388535032</v>
      </c>
      <c r="D20" s="44">
        <f>'Summary PivotTables'!D30</f>
        <v>1011100</v>
      </c>
      <c r="E20" s="24">
        <f>'Summary PivotTables'!E30</f>
        <v>81.585987261146499</v>
      </c>
      <c r="F20" s="24" t="str">
        <f>IFERROR(COUNTIFS('PO Data'!$B:$B,$A20,'PO Data'!$G:$G,"&lt;=60")/COUNTIFS('PO Data'!$B:$B,$A20),"")</f>
        <v/>
      </c>
      <c r="G20" s="23"/>
    </row>
  </sheetData>
  <mergeCells count="1">
    <mergeCell ref="A1:G1"/>
  </mergeCells>
  <pageMargins left="0.7" right="0.7" top="0.75" bottom="0.75" header="0.3" footer="0.3"/>
  <ignoredErrors>
    <ignoredError sqref="B3:E3" calculatedColumn="1"/>
  </ignoredErrors>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BDA84-5397-43F3-B52E-62E2D9A45633}">
  <dimension ref="A1:F30"/>
  <sheetViews>
    <sheetView workbookViewId="0">
      <selection activeCell="J3" sqref="J3"/>
    </sheetView>
  </sheetViews>
  <sheetFormatPr defaultRowHeight="14.4" x14ac:dyDescent="0.3"/>
  <cols>
    <col min="1" max="1" width="11.77734375" bestFit="1" customWidth="1"/>
    <col min="2" max="2" width="11" bestFit="1" customWidth="1"/>
    <col min="3" max="3" width="8" bestFit="1" customWidth="1"/>
    <col min="4" max="4" width="10.21875" bestFit="1" customWidth="1"/>
    <col min="5" max="5" width="9.6640625" bestFit="1" customWidth="1"/>
    <col min="6" max="6" width="21.5546875" customWidth="1"/>
    <col min="7" max="16" width="11.77734375" bestFit="1" customWidth="1"/>
    <col min="17" max="17" width="15.77734375" bestFit="1" customWidth="1"/>
    <col min="18" max="18" width="15.6640625" bestFit="1" customWidth="1"/>
    <col min="19" max="19" width="28.33203125" bestFit="1" customWidth="1"/>
    <col min="20" max="27" width="11.88671875" bestFit="1" customWidth="1"/>
    <col min="28" max="35" width="10.6640625" bestFit="1" customWidth="1"/>
    <col min="36" max="36" width="32.109375" bestFit="1" customWidth="1"/>
    <col min="37" max="37" width="20.109375" bestFit="1" customWidth="1"/>
    <col min="38" max="87" width="8.109375" bestFit="1" customWidth="1"/>
    <col min="88" max="88" width="11.6640625" bestFit="1" customWidth="1"/>
  </cols>
  <sheetData>
    <row r="1" spans="1:6" ht="17.399999999999999" x14ac:dyDescent="0.35">
      <c r="A1" s="49" t="s">
        <v>30</v>
      </c>
      <c r="B1" s="49"/>
      <c r="C1" s="49"/>
      <c r="D1" s="49"/>
    </row>
    <row r="2" spans="1:6" ht="43.2" x14ac:dyDescent="0.3">
      <c r="A2" s="22" t="s">
        <v>4</v>
      </c>
      <c r="B2" s="23" t="s">
        <v>31</v>
      </c>
      <c r="C2" s="23" t="s">
        <v>32</v>
      </c>
      <c r="D2" s="23" t="s">
        <v>33</v>
      </c>
      <c r="E2" s="41"/>
    </row>
    <row r="3" spans="1:6" x14ac:dyDescent="0.3">
      <c r="A3" t="s">
        <v>9</v>
      </c>
      <c r="B3" s="21">
        <v>29</v>
      </c>
      <c r="C3" s="21">
        <v>5000</v>
      </c>
      <c r="D3" s="21">
        <v>127.17241379310344</v>
      </c>
      <c r="E3" s="41"/>
    </row>
    <row r="4" spans="1:6" x14ac:dyDescent="0.3">
      <c r="A4" t="s">
        <v>14</v>
      </c>
      <c r="B4" s="21">
        <v>32</v>
      </c>
      <c r="C4" s="21">
        <v>6753.125</v>
      </c>
      <c r="D4" s="21">
        <v>90.3125</v>
      </c>
      <c r="E4" s="41"/>
    </row>
    <row r="5" spans="1:6" x14ac:dyDescent="0.3">
      <c r="A5" t="s">
        <v>18</v>
      </c>
      <c r="B5" s="21">
        <v>28</v>
      </c>
      <c r="C5" s="21">
        <v>4003.5714285714284</v>
      </c>
      <c r="D5" s="21">
        <v>31.071428571428573</v>
      </c>
      <c r="E5" s="41"/>
    </row>
    <row r="6" spans="1:6" x14ac:dyDescent="0.3">
      <c r="A6" t="s">
        <v>16</v>
      </c>
      <c r="B6" s="21">
        <v>47</v>
      </c>
      <c r="C6" s="21">
        <v>8882.978723404256</v>
      </c>
      <c r="D6" s="21">
        <v>77.191489361702125</v>
      </c>
      <c r="E6" s="41"/>
    </row>
    <row r="7" spans="1:6" x14ac:dyDescent="0.3">
      <c r="A7" t="s">
        <v>12</v>
      </c>
      <c r="B7" s="21">
        <v>21</v>
      </c>
      <c r="C7" s="21">
        <v>5733.333333333333</v>
      </c>
      <c r="D7" s="21">
        <v>82.523809523809518</v>
      </c>
      <c r="E7" s="41">
        <f>IF(OR($A7="",TRIM($A7)="Grand Total"),"",IFERROR(COUNTIFS('PO Data'!$D:$D,$A7,'PO Data'!$G:$G,"&lt;=60")/COUNTIFS('PO Data'!$D:$D,$A7),""))</f>
        <v>0.38095238095238093</v>
      </c>
    </row>
    <row r="8" spans="1:6" x14ac:dyDescent="0.3">
      <c r="A8" t="s">
        <v>34</v>
      </c>
      <c r="B8" s="21">
        <v>157</v>
      </c>
      <c r="C8" s="21">
        <v>6440.127388535032</v>
      </c>
      <c r="D8" s="21">
        <v>81.585987261146499</v>
      </c>
      <c r="E8" s="41" t="str">
        <f>IF(OR($A8="",TRIM($A8)="Grand Total"),"",IFERROR(COUNTIFS('PO Data'!$D:$D,$A8,'PO Data'!$G:$G,"&lt;=60")/COUNTIFS('PO Data'!$D:$D,$A8),""))</f>
        <v/>
      </c>
    </row>
    <row r="11" spans="1:6" ht="17.399999999999999" x14ac:dyDescent="0.35">
      <c r="A11" s="50" t="s">
        <v>49</v>
      </c>
      <c r="B11" s="50"/>
      <c r="C11" s="50"/>
      <c r="D11" s="50"/>
      <c r="E11" s="50"/>
      <c r="F11" s="50"/>
    </row>
    <row r="12" spans="1:6" ht="43.2" x14ac:dyDescent="0.3">
      <c r="A12" s="22" t="s">
        <v>2</v>
      </c>
      <c r="B12" s="23" t="s">
        <v>31</v>
      </c>
      <c r="C12" s="23" t="s">
        <v>48</v>
      </c>
      <c r="D12" s="39" t="s">
        <v>50</v>
      </c>
      <c r="E12" s="23" t="s">
        <v>36</v>
      </c>
      <c r="F12" s="43" t="s">
        <v>43</v>
      </c>
    </row>
    <row r="13" spans="1:6" x14ac:dyDescent="0.3">
      <c r="A13" t="s">
        <v>8</v>
      </c>
      <c r="B13" s="54">
        <v>8</v>
      </c>
      <c r="C13" s="25">
        <v>4400</v>
      </c>
      <c r="D13" s="25">
        <v>35200</v>
      </c>
      <c r="E13" s="21">
        <v>109.125</v>
      </c>
      <c r="F13" s="47" t="str">
        <f>IF(OR(A13="Grand Total",D13="",E13=""),"",IF(D13&gt;=MEDIAN('Product Analysis'!D$3:D$19)*1.5,"High volume, ",IF(D13&gt;=MEDIAN('Product Analysis'!D$3:D$19)*0.75,"Mid volume, ","Low volume, "))&amp;IF(E13&lt;=MEDIAN('Product Analysis'!E$3:E$19)*0.9,"fast lead",IF(E13&lt;=MEDIAN('Product Analysis'!E$3:E$19)*1.1,"decent lead","slow lead")))</f>
        <v>Mid volume, slow lead</v>
      </c>
    </row>
    <row r="14" spans="1:6" x14ac:dyDescent="0.3">
      <c r="A14" t="s">
        <v>26</v>
      </c>
      <c r="B14" s="54">
        <v>8</v>
      </c>
      <c r="C14" s="25">
        <v>5212.5</v>
      </c>
      <c r="D14" s="25">
        <v>41700</v>
      </c>
      <c r="E14" s="21">
        <v>133.25</v>
      </c>
      <c r="F14" s="47" t="str">
        <f>IF(OR(A14="Grand Total",D14="",E14=""),"",IF(D14&gt;=MEDIAN('Product Analysis'!D$3:D$19)*1.5,"High volume, ",IF(D14&gt;=MEDIAN('Product Analysis'!D$3:D$19)*0.75,"Mid volume, ","Low volume, "))&amp;IF(E14&lt;=MEDIAN('Product Analysis'!E$3:E$19)*0.9,"fast lead",IF(E14&lt;=MEDIAN('Product Analysis'!E$3:E$19)*1.1,"decent lead","slow lead")))</f>
        <v>Mid volume, slow lead</v>
      </c>
    </row>
    <row r="15" spans="1:6" x14ac:dyDescent="0.3">
      <c r="A15" t="s">
        <v>10</v>
      </c>
      <c r="B15" s="54">
        <v>10</v>
      </c>
      <c r="C15" s="25">
        <v>4950</v>
      </c>
      <c r="D15" s="25">
        <v>49500</v>
      </c>
      <c r="E15" s="21">
        <v>131.5</v>
      </c>
      <c r="F15" s="47" t="str">
        <f>IF(OR(A15="Grand Total",D15="",E15=""),"",IF(D15&gt;=MEDIAN('Product Analysis'!D$3:D$19)*1.5,"High volume, ",IF(D15&gt;=MEDIAN('Product Analysis'!D$3:D$19)*0.75,"Mid volume, ","Low volume, "))&amp;IF(E15&lt;=MEDIAN('Product Analysis'!E$3:E$19)*0.9,"fast lead",IF(E15&lt;=MEDIAN('Product Analysis'!E$3:E$19)*1.1,"decent lead","slow lead")))</f>
        <v>Mid volume, slow lead</v>
      </c>
    </row>
    <row r="16" spans="1:6" x14ac:dyDescent="0.3">
      <c r="A16" t="s">
        <v>28</v>
      </c>
      <c r="B16" s="54">
        <v>3</v>
      </c>
      <c r="C16" s="25">
        <v>7300</v>
      </c>
      <c r="D16" s="25">
        <v>21900</v>
      </c>
      <c r="E16" s="21">
        <v>128</v>
      </c>
      <c r="F16" s="47" t="str">
        <f>IF(OR(A16="Grand Total",D16="",E16=""),"",IF(D16&gt;=MEDIAN('Product Analysis'!D$3:D$19)*1.5,"High volume, ",IF(D16&gt;=MEDIAN('Product Analysis'!D$3:D$19)*0.75,"Mid volume, ","Low volume, "))&amp;IF(E16&lt;=MEDIAN('Product Analysis'!E$3:E$19)*0.9,"fast lead",IF(E16&lt;=MEDIAN('Product Analysis'!E$3:E$19)*1.1,"decent lead","slow lead")))</f>
        <v>Low volume, slow lead</v>
      </c>
    </row>
    <row r="17" spans="1:6" x14ac:dyDescent="0.3">
      <c r="A17" t="s">
        <v>25</v>
      </c>
      <c r="B17" s="54">
        <v>11</v>
      </c>
      <c r="C17" s="25">
        <v>7327.272727272727</v>
      </c>
      <c r="D17" s="25">
        <v>80600</v>
      </c>
      <c r="E17" s="21">
        <v>81.454545454545453</v>
      </c>
      <c r="F17" s="47" t="str">
        <f>IF(OR(A17="Grand Total",D17="",E17=""),"",IF(D17&gt;=MEDIAN('Product Analysis'!D$3:D$19)*1.5,"High volume, ",IF(D17&gt;=MEDIAN('Product Analysis'!D$3:D$19)*0.75,"Mid volume, ","Low volume, "))&amp;IF(E17&lt;=MEDIAN('Product Analysis'!E$3:E$19)*0.9,"fast lead",IF(E17&lt;=MEDIAN('Product Analysis'!E$3:E$19)*1.1,"decent lead","slow lead")))</f>
        <v>High volume, decent lead</v>
      </c>
    </row>
    <row r="18" spans="1:6" x14ac:dyDescent="0.3">
      <c r="A18" t="s">
        <v>19</v>
      </c>
      <c r="B18" s="54">
        <v>13</v>
      </c>
      <c r="C18" s="25">
        <v>6669.2307692307695</v>
      </c>
      <c r="D18" s="25">
        <v>86700</v>
      </c>
      <c r="E18" s="21">
        <v>97.769230769230774</v>
      </c>
      <c r="F18" s="47" t="str">
        <f>IF(OR(A18="Grand Total",D18="",E18=""),"",IF(D18&gt;=MEDIAN('Product Analysis'!D$3:D$19)*1.5,"High volume, ",IF(D18&gt;=MEDIAN('Product Analysis'!D$3:D$19)*0.75,"Mid volume, ","Low volume, "))&amp;IF(E18&lt;=MEDIAN('Product Analysis'!E$3:E$19)*0.9,"fast lead",IF(E18&lt;=MEDIAN('Product Analysis'!E$3:E$19)*1.1,"decent lead","slow lead")))</f>
        <v>High volume, slow lead</v>
      </c>
    </row>
    <row r="19" spans="1:6" x14ac:dyDescent="0.3">
      <c r="A19" t="s">
        <v>13</v>
      </c>
      <c r="B19" s="54">
        <v>7</v>
      </c>
      <c r="C19" s="25">
        <v>5742.8571428571431</v>
      </c>
      <c r="D19" s="25">
        <v>40200</v>
      </c>
      <c r="E19" s="21">
        <v>73.714285714285708</v>
      </c>
      <c r="F19" s="47" t="str">
        <f>IF(OR(A19="Grand Total",D19="",E19=""),"",IF(D19&gt;=MEDIAN('Product Analysis'!D$3:D$19)*1.5,"High volume, ",IF(D19&gt;=MEDIAN('Product Analysis'!D$3:D$19)*0.75,"Mid volume, ","Low volume, "))&amp;IF(E19&lt;=MEDIAN('Product Analysis'!E$3:E$19)*0.9,"fast lead",IF(E19&lt;=MEDIAN('Product Analysis'!E$3:E$19)*1.1,"decent lead","slow lead")))</f>
        <v>Mid volume, decent lead</v>
      </c>
    </row>
    <row r="20" spans="1:6" x14ac:dyDescent="0.3">
      <c r="A20" t="s">
        <v>17</v>
      </c>
      <c r="B20" s="54">
        <v>5</v>
      </c>
      <c r="C20" s="25">
        <v>3640</v>
      </c>
      <c r="D20" s="25">
        <v>18200</v>
      </c>
      <c r="E20" s="21">
        <v>30</v>
      </c>
      <c r="F20" s="47" t="str">
        <f>IF(OR(A20="Grand Total",D20="",E20=""),"",IF(D20&gt;=MEDIAN('Product Analysis'!D$3:D$19)*1.5,"High volume, ",IF(D20&gt;=MEDIAN('Product Analysis'!D$3:D$19)*0.75,"Mid volume, ","Low volume, "))&amp;IF(E20&lt;=MEDIAN('Product Analysis'!E$3:E$19)*0.9,"fast lead",IF(E20&lt;=MEDIAN('Product Analysis'!E$3:E$19)*1.1,"decent lead","slow lead")))</f>
        <v>Low volume, fast lead</v>
      </c>
    </row>
    <row r="21" spans="1:6" x14ac:dyDescent="0.3">
      <c r="A21" t="s">
        <v>24</v>
      </c>
      <c r="B21" s="54">
        <v>8</v>
      </c>
      <c r="C21" s="25">
        <v>2600</v>
      </c>
      <c r="D21" s="25">
        <v>20800</v>
      </c>
      <c r="E21" s="21">
        <v>33</v>
      </c>
      <c r="F21" s="47" t="str">
        <f>IF(OR(A21="Grand Total",D21="",E21=""),"",IF(D21&gt;=MEDIAN('Product Analysis'!D$3:D$19)*1.5,"High volume, ",IF(D21&gt;=MEDIAN('Product Analysis'!D$3:D$19)*0.75,"Mid volume, ","Low volume, "))&amp;IF(E21&lt;=MEDIAN('Product Analysis'!E$3:E$19)*0.9,"fast lead",IF(E21&lt;=MEDIAN('Product Analysis'!E$3:E$19)*1.1,"decent lead","slow lead")))</f>
        <v>Low volume, fast lead</v>
      </c>
    </row>
    <row r="22" spans="1:6" x14ac:dyDescent="0.3">
      <c r="A22" t="s">
        <v>20</v>
      </c>
      <c r="B22" s="54">
        <v>11</v>
      </c>
      <c r="C22" s="25">
        <v>3600</v>
      </c>
      <c r="D22" s="25">
        <v>39600</v>
      </c>
      <c r="E22" s="21">
        <v>31</v>
      </c>
      <c r="F22" s="47" t="str">
        <f>IF(OR(A22="Grand Total",D22="",E22=""),"",IF(D22&gt;=MEDIAN('Product Analysis'!D$3:D$19)*1.5,"High volume, ",IF(D22&gt;=MEDIAN('Product Analysis'!D$3:D$19)*0.75,"Mid volume, ","Low volume, "))&amp;IF(E22&lt;=MEDIAN('Product Analysis'!E$3:E$19)*0.9,"fast lead",IF(E22&lt;=MEDIAN('Product Analysis'!E$3:E$19)*1.1,"decent lead","slow lead")))</f>
        <v>Mid volume, fast lead</v>
      </c>
    </row>
    <row r="23" spans="1:6" x14ac:dyDescent="0.3">
      <c r="A23" t="s">
        <v>21</v>
      </c>
      <c r="B23" s="54">
        <v>17</v>
      </c>
      <c r="C23" s="25">
        <v>9652.9411764705874</v>
      </c>
      <c r="D23" s="25">
        <v>164100</v>
      </c>
      <c r="E23" s="21">
        <v>81.058823529411768</v>
      </c>
      <c r="F23" s="47" t="str">
        <f>IF(OR(A23="Grand Total",D23="",E23=""),"",IF(D23&gt;=MEDIAN('Product Analysis'!D$3:D$19)*1.5,"High volume, ",IF(D23&gt;=MEDIAN('Product Analysis'!D$3:D$19)*0.75,"Mid volume, ","Low volume, "))&amp;IF(E23&lt;=MEDIAN('Product Analysis'!E$3:E$19)*0.9,"fast lead",IF(E23&lt;=MEDIAN('Product Analysis'!E$3:E$19)*1.1,"decent lead","slow lead")))</f>
        <v>High volume, decent lead</v>
      </c>
    </row>
    <row r="24" spans="1:6" x14ac:dyDescent="0.3">
      <c r="A24" t="s">
        <v>27</v>
      </c>
      <c r="B24" s="54">
        <v>12</v>
      </c>
      <c r="C24" s="25">
        <v>8041.666666666667</v>
      </c>
      <c r="D24" s="25">
        <v>96500</v>
      </c>
      <c r="E24" s="21">
        <v>67.333333333333329</v>
      </c>
      <c r="F24" s="47" t="str">
        <f>IF(OR(A24="Grand Total",D24="",E24=""),"",IF(D24&gt;=MEDIAN('Product Analysis'!D$3:D$19)*1.5,"High volume, ",IF(D24&gt;=MEDIAN('Product Analysis'!D$3:D$19)*0.75,"Mid volume, ","Low volume, "))&amp;IF(E24&lt;=MEDIAN('Product Analysis'!E$3:E$19)*0.9,"fast lead",IF(E24&lt;=MEDIAN('Product Analysis'!E$3:E$19)*1.1,"decent lead","slow lead")))</f>
        <v>High volume, fast lead</v>
      </c>
    </row>
    <row r="25" spans="1:6" x14ac:dyDescent="0.3">
      <c r="A25" t="s">
        <v>29</v>
      </c>
      <c r="B25" s="54">
        <v>7</v>
      </c>
      <c r="C25" s="25">
        <v>8728.5714285714294</v>
      </c>
      <c r="D25" s="25">
        <v>61100</v>
      </c>
      <c r="E25" s="21">
        <v>81.571428571428569</v>
      </c>
      <c r="F25" s="47" t="str">
        <f>IF(OR(A25="Grand Total",D25="",E25=""),"",IF(D25&gt;=MEDIAN('Product Analysis'!D$3:D$19)*1.5,"High volume, ",IF(D25&gt;=MEDIAN('Product Analysis'!D$3:D$19)*0.75,"Mid volume, ","Low volume, "))&amp;IF(E25&lt;=MEDIAN('Product Analysis'!E$3:E$19)*0.9,"fast lead",IF(E25&lt;=MEDIAN('Product Analysis'!E$3:E$19)*1.1,"decent lead","slow lead")))</f>
        <v>Mid volume, decent lead</v>
      </c>
    </row>
    <row r="26" spans="1:6" x14ac:dyDescent="0.3">
      <c r="A26" t="s">
        <v>22</v>
      </c>
      <c r="B26" s="54">
        <v>13</v>
      </c>
      <c r="C26" s="25">
        <v>8930.7692307692305</v>
      </c>
      <c r="D26" s="25">
        <v>116100</v>
      </c>
      <c r="E26" s="21">
        <v>69</v>
      </c>
      <c r="F26" s="47" t="str">
        <f>IF(OR(A26="Grand Total",D26="",E26=""),"",IF(D26&gt;=MEDIAN('Product Analysis'!D$3:D$19)*1.5,"High volume, ",IF(D26&gt;=MEDIAN('Product Analysis'!D$3:D$19)*0.75,"Mid volume, ","Low volume, "))&amp;IF(E26&lt;=MEDIAN('Product Analysis'!E$3:E$19)*0.9,"fast lead",IF(E26&lt;=MEDIAN('Product Analysis'!E$3:E$19)*1.1,"decent lead","slow lead")))</f>
        <v>High volume, fast lead</v>
      </c>
    </row>
    <row r="27" spans="1:6" x14ac:dyDescent="0.3">
      <c r="A27" t="s">
        <v>15</v>
      </c>
      <c r="B27" s="54">
        <v>11</v>
      </c>
      <c r="C27" s="25">
        <v>5281.818181818182</v>
      </c>
      <c r="D27" s="25">
        <v>58100</v>
      </c>
      <c r="E27" s="21">
        <v>94.36363636363636</v>
      </c>
      <c r="F27" s="47" t="str">
        <f>IF(OR(A27="Grand Total",D27="",E27=""),"",IF(D27&gt;=MEDIAN('Product Analysis'!D$3:D$19)*1.5,"High volume, ",IF(D27&gt;=MEDIAN('Product Analysis'!D$3:D$19)*0.75,"Mid volume, ","Low volume, "))&amp;IF(E27&lt;=MEDIAN('Product Analysis'!E$3:E$19)*0.9,"fast lead",IF(E27&lt;=MEDIAN('Product Analysis'!E$3:E$19)*1.1,"decent lead","slow lead")))</f>
        <v>Mid volume, slow lead</v>
      </c>
    </row>
    <row r="28" spans="1:6" x14ac:dyDescent="0.3">
      <c r="A28" t="s">
        <v>23</v>
      </c>
      <c r="B28" s="54">
        <v>6</v>
      </c>
      <c r="C28" s="25">
        <v>6066.666666666667</v>
      </c>
      <c r="D28" s="25">
        <v>36400</v>
      </c>
      <c r="E28" s="21">
        <v>78.333333333333329</v>
      </c>
      <c r="F28" s="47" t="str">
        <f>IF(OR(A28="Grand Total",D28="",E28=""),"",IF(D28&gt;=MEDIAN('Product Analysis'!D$3:D$19)*1.5,"High volume, ",IF(D28&gt;=MEDIAN('Product Analysis'!D$3:D$19)*0.75,"Mid volume, ","Low volume, "))&amp;IF(E28&lt;=MEDIAN('Product Analysis'!E$3:E$19)*0.9,"fast lead",IF(E28&lt;=MEDIAN('Product Analysis'!E$3:E$19)*1.1,"decent lead","slow lead")))</f>
        <v>Mid volume, decent lead</v>
      </c>
    </row>
    <row r="29" spans="1:6" x14ac:dyDescent="0.3">
      <c r="A29" t="s">
        <v>11</v>
      </c>
      <c r="B29" s="54">
        <v>7</v>
      </c>
      <c r="C29" s="25">
        <v>6342.8571428571431</v>
      </c>
      <c r="D29" s="25">
        <v>44400</v>
      </c>
      <c r="E29" s="21">
        <v>81.571428571428569</v>
      </c>
      <c r="F29" s="47" t="str">
        <f>IF(OR(A29="Grand Total",D29="",E29=""),"",IF(D29&gt;=MEDIAN('Product Analysis'!D$3:D$19)*1.5,"High volume, ",IF(D29&gt;=MEDIAN('Product Analysis'!D$3:D$19)*0.75,"Mid volume, ","Low volume, "))&amp;IF(E29&lt;=MEDIAN('Product Analysis'!E$3:E$19)*0.9,"fast lead",IF(E29&lt;=MEDIAN('Product Analysis'!E$3:E$19)*1.1,"decent lead","slow lead")))</f>
        <v>Mid volume, decent lead</v>
      </c>
    </row>
    <row r="30" spans="1:6" x14ac:dyDescent="0.3">
      <c r="A30" t="s">
        <v>34</v>
      </c>
      <c r="B30" s="21">
        <v>157</v>
      </c>
      <c r="C30" s="21">
        <v>6440.127388535032</v>
      </c>
      <c r="D30" s="21">
        <v>1011100</v>
      </c>
      <c r="E30" s="21">
        <v>81.585987261146499</v>
      </c>
      <c r="F30" s="47" t="str">
        <f t="shared" ref="F30" si="0">IF(OR(A30="Grand Total",D30="",E30=""),"",IF(D30&gt;=MEDIAN(D$13:D$29)*1.25,"High volume, ",IF(D30&gt;=MEDIAN(D$13:D$29)*0.75,"Mid volume, ","Low volume, "))&amp;IF(E30&lt;=MEDIAN(E$13:E$29)*0.9,"fast lead",IF(E30&lt;=MEDIAN(E$13:E$29)*1.1,"decent lead","slow lead")))</f>
        <v/>
      </c>
    </row>
  </sheetData>
  <mergeCells count="2">
    <mergeCell ref="A1:D1"/>
    <mergeCell ref="A11:F11"/>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 PivotTables</vt:lpstr>
      <vt:lpstr>PO Data</vt:lpstr>
      <vt:lpstr>Vendor Analysis</vt:lpstr>
      <vt:lpstr>Product Analysis</vt:lpstr>
      <vt:lpstr>PivotTables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Jacob  Moriones</cp:lastModifiedBy>
  <cp:revision/>
  <dcterms:created xsi:type="dcterms:W3CDTF">2026-10-07T19:18:45Z</dcterms:created>
  <dcterms:modified xsi:type="dcterms:W3CDTF">2026-10-09T22:21:59Z</dcterms:modified>
  <cp:category/>
  <cp:contentStatus/>
</cp:coreProperties>
</file>